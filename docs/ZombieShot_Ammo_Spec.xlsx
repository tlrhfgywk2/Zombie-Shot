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b3c0bd922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mmo_Master" sheetId="1" r:id="Re29c1aee89c141dc"/>
    <x:sheet xmlns:r="http://schemas.openxmlformats.org/officeDocument/2006/relationships" name="Definitions" sheetId="2" r:id="Ra73be05425264fa2"/>
    <x:sheet xmlns:r="http://schemas.openxmlformats.org/officeDocument/2006/relationships" name="Balance_Notes" sheetId="3" r:id="Rafdf7f151bc84fe3"/>
    <x:sheet xmlns:r="http://schemas.openxmlformats.org/officeDocument/2006/relationships" name="Validation" sheetId="4" r:id="Ra8c531f83e3542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3">
    <x:font>
      <x:sz val="11"/>
      <x:name val="Carlito"/>
    </x:font>
    <x:font>
      <x:sz val="11"/>
      <x:color rgb="FF27352E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3D3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2">
    <x:dxf>
      <x:font>
        <x:b/>
        <x:color rgb="FF8A5900"/>
      </x:font>
      <x:fill>
        <x:patternFill patternType="solid">
          <x:bgColor rgb="FFFFF0C7"/>
        </x:patternFill>
      </x:fill>
    </x:dxf>
    <x:dxf>
      <x:font>
        <x:b/>
        <x:color rgb="FFA82318"/>
      </x:font>
      <x:fill>
        <x:patternFill patternType="solid">
          <x:bgColor rgb="FFFFD9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1b207daae43ba" /><Relationship Type="http://schemas.openxmlformats.org/officeDocument/2006/relationships/theme" Target="/xl/theme/theme1.xml" Id="R1811bf220b6546bc" /><Relationship Type="http://schemas.openxmlformats.org/officeDocument/2006/relationships/sharedStrings" Target="/xl/sharedStrings.xml" Id="R0b340e255a514a8d" /><Relationship Type="http://schemas.openxmlformats.org/officeDocument/2006/relationships/worksheet" Target="/xl/worksheets/sheet1.xml" Id="Re29c1aee89c141dc" /><Relationship Type="http://schemas.openxmlformats.org/officeDocument/2006/relationships/worksheet" Target="/xl/worksheets/sheet2.xml" Id="Ra73be05425264fa2" /><Relationship Type="http://schemas.openxmlformats.org/officeDocument/2006/relationships/worksheet" Target="/xl/worksheets/sheet3.xml" Id="Rafdf7f151bc84fe3" /><Relationship Type="http://schemas.openxmlformats.org/officeDocument/2006/relationships/worksheet" Target="/xl/worksheets/sheet4.xml" Id="Ra8c531f83e3542fb" /></Relationships>
</file>

<file path=xl/tables/table1.xml><?xml version="1.0" encoding="utf-8"?>
<x:table xmlns:x="http://schemas.openxmlformats.org/spreadsheetml/2006/main" id="1" name="AmmoCatalog" displayName="AmmoCatalog" ref="A1:AY48" headerRowCount="1" totalsRowCount="0" totalsRowShown="0">
  <x:autoFilter ref="A1:AY48"/>
  <x:tableColumns count="51">
    <x:tableColumn id="1" name="탄약 ID"/>
    <x:tableColumn id="2" name="한국어 이름"/>
    <x:tableColumn id="3" name="영어 이름"/>
    <x:tableColumn id="4" name="상태"/>
    <x:tableColumn id="5" name="적 효과 계열"/>
    <x:tableColumn id="6" name="기계적 분류"/>
    <x:tableColumn id="7" name="계층"/>
    <x:tableColumn id="8" name="기본 화력 / 체력 피해"/>
    <x:tableColumn id="9" name="현재 체력 비례율"/>
    <x:tableColumn id="10" name="반동"/>
    <x:tableColumn id="11" name="폭발 축적"/>
    <x:tableColumn id="12" name="화상 축적"/>
    <x:tableColumn id="13" name="상처 축적"/>
    <x:tableColumn id="14" name="충격 축적"/>
    <x:tableColumn id="15" name="취약 상호작용"/>
    <x:tableColumn id="16" name="점화 상호작용"/>
    <x:tableColumn id="17" name="이동 효과"/>
    <x:tableColumn id="18" name="직전 탄 조건"/>
    <x:tableColumn id="19" name="다음 탄 조건"/>
    <x:tableColumn id="20" name="탄창 위치 조건"/>
    <x:tableColumn id="21" name="탄창 구성 조건"/>
    <x:tableColumn id="22" name="주효과 종류"/>
    <x:tableColumn id="23" name="주효과 기본값"/>
    <x:tableColumn id="24" name="부가효과"/>
    <x:tableColumn id="25" name="부가효과 값"/>
    <x:tableColumn id="26" name="발동 조건"/>
    <x:tableColumn id="27" name="효과 상세"/>
    <x:tableColumn id="28" name="짧은 툴팁"/>
    <x:tableColumn id="29" name="밸런스 근거"/>
    <x:tableColumn id="30" name="구현 참고"/>
    <x:tableColumn id="31" name="즉시 화상 피해"/>
    <x:tableColumn id="32" name="반동 회복"/>
    <x:tableColumn id="33" name="조건 화력 증가"/>
    <x:tableColumn id="34" name="체력 비례 증가 상한"/>
    <x:tableColumn id="35" name="처형 체력 조건 (%)"/>
    <x:tableColumn id="36" name="취약 추가 증폭 (%)"/>
    <x:tableColumn id="37" name="취약 발동 추가 피해"/>
    <x:tableColumn id="38" name="취약 추가 턴"/>
    <x:tableColumn id="39" name="취약 추가 상처"/>
    <x:tableColumn id="40" name="발동 후 상처 보존"/>
    <x:tableColumn id="41" name="현재 화상 비례 (%)"/>
    <x:tableColumn id="42" name="점화 화력 증가"/>
    <x:tableColumn id="43" name="현재 충격 배수 기준"/>
    <x:tableColumn id="44" name="현재 충격 증가 상한"/>
    <x:tableColumn id="45" name="연계/배열 증가 값"/>
    <x:tableColumn id="46" name="연계/배열 증가 방식"/>
    <x:tableColumn id="47" name="사격 전 이동 (m)"/>
    <x:tableColumn id="48" name="사격 후 이동 (m)"/>
    <x:tableColumn id="49" name="희귀도"/>
    <x:tableColumn id="50" name="반동 전환 증가 상한"/>
    <x:tableColumn id="51" name="연계/배열 대상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AmmoDefinitions" displayName="AmmoDefinitions" ref="A1:B17" headerRowCount="1" totalsRowCount="0" totalsRowShown="0">
  <x:autoFilter ref="A1:B17"/>
  <x:tableColumns count="2">
    <x:tableColumn id="1" name="용어"/>
    <x:tableColumn id="2" name="정의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AmmoBalanceNotes" displayName="AmmoBalanceNotes" ref="A1:B9" headerRowCount="1" totalsRowCount="0" totalsRowShown="0">
  <x:autoFilter ref="A1:B9"/>
  <x:tableColumns count="2">
    <x:tableColumn id="1" name="항목"/>
    <x:tableColumn id="2" name="조정 및 관찰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AmmoValidation" displayName="AmmoValidation" ref="A1:D13" headerRowCount="1" totalsRowCount="0" totalsRowShown="0">
  <x:autoFilter ref="A1:D13"/>
  <x:tableColumns count="4">
    <x:tableColumn id="1" name="검사"/>
    <x:tableColumn id="2" name="현재 값"/>
    <x:tableColumn id="3" name="기대 값"/>
    <x:tableColumn id="4" name="차이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e9593237a54a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b15d9adb8946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b4415381104c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2799b9c1de4989" /></Relationships>
</file>

<file path=xl/worksheets/sheet1.xml><?xml version="1.0" encoding="utf-8"?>
<x:worksheet xmlns:x="http://schemas.openxmlformats.org/spreadsheetml/2006/main">
  <x:sheetPr>
    <x:tabColor rgb="FF283D32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7" hidden="0" customWidth="1"/>
    <x:col min="4" max="4" width="14" hidden="0" customWidth="1"/>
    <x:col min="5" max="5" width="18" hidden="0" customWidth="1"/>
    <x:col min="6" max="6" width="16" hidden="0" customWidth="1"/>
    <x:col min="7" max="7" width="20" hidden="0" customWidth="1"/>
    <x:col min="8" max="8" width="13" hidden="0" customWidth="1"/>
    <x:col min="9" max="9" width="13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48" hidden="0" customWidth="1"/>
    <x:col min="16" max="16" width="46" hidden="0" customWidth="1"/>
    <x:col min="17" max="17" width="27" hidden="0" customWidth="1"/>
    <x:col min="18" max="18" width="31" hidden="0" customWidth="1"/>
    <x:col min="19" max="19" width="36" hidden="0" customWidth="1"/>
    <x:col min="20" max="20" width="38" hidden="0" customWidth="1"/>
    <x:col min="21" max="21" width="34" hidden="0" customWidth="1"/>
    <x:col min="22" max="22" width="30" hidden="0" customWidth="1"/>
    <x:col min="23" max="23" width="22" hidden="0" customWidth="1"/>
    <x:col min="24" max="24" width="30" hidden="0" customWidth="1"/>
    <x:col min="25" max="25" width="34" hidden="0" customWidth="1"/>
    <x:col min="26" max="26" width="62" hidden="0" customWidth="1"/>
    <x:col min="27" max="27" width="62" hidden="0" customWidth="1"/>
    <x:col min="28" max="28" width="49" hidden="0" customWidth="1"/>
    <x:col min="29" max="29" width="58" hidden="0" customWidth="1"/>
    <x:col min="30" max="30" width="65" hidden="0" customWidth="1"/>
    <x:col min="31" max="31" width="12" hidden="0" customWidth="1"/>
    <x:col min="32" max="32" width="12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2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22" hidden="0" customWidth="1"/>
    <x:col min="47" max="47" width="13" hidden="0" customWidth="1"/>
    <x:col min="48" max="48" width="13" hidden="0" customWidth="1"/>
    <x:col min="49" max="49" width="12" hidden="0" customWidth="1"/>
    <x:col min="50" max="50" width="28" hidden="0" customWidth="1"/>
    <x:col min="51" max="51" width="28" hidden="0" customWidth="1"/>
  </x:cols>
  <x:sheetData>
    <x:row r="1" ht="46" customHeight="1">
      <x:c r="A1" s="7" t="str">
        <x:v>탄약 ID</x:v>
      </x:c>
      <x:c r="B1" s="7" t="str">
        <x:v>한국어 이름</x:v>
      </x:c>
      <x:c r="C1" s="7" t="str">
        <x:v>영어 이름</x:v>
      </x:c>
      <x:c r="D1" s="7" t="str">
        <x:v>상태</x:v>
      </x:c>
      <x:c r="E1" s="7" t="str">
        <x:v>적 효과 계열</x:v>
      </x:c>
      <x:c r="F1" s="7" t="str">
        <x:v>기계적 분류</x:v>
      </x:c>
      <x:c r="G1" s="7" t="str">
        <x:v>계층</x:v>
      </x:c>
      <x:c r="H1" s="7" t="str">
        <x:v>기본 화력 / 체력 피해</x:v>
      </x:c>
      <x:c r="I1" s="7" t="str">
        <x:v>현재 체력 비례율</x:v>
      </x:c>
      <x:c r="J1" s="7" t="str">
        <x:v>반동</x:v>
      </x:c>
      <x:c r="K1" s="7" t="str">
        <x:v>폭발 축적</x:v>
      </x:c>
      <x:c r="L1" s="7" t="str">
        <x:v>화상 축적</x:v>
      </x:c>
      <x:c r="M1" s="7" t="str">
        <x:v>상처 축적</x:v>
      </x:c>
      <x:c r="N1" s="7" t="str">
        <x:v>충격 축적</x:v>
      </x:c>
      <x:c r="O1" s="7" t="str">
        <x:v>취약 상호작용</x:v>
      </x:c>
      <x:c r="P1" s="7" t="str">
        <x:v>점화 상호작용</x:v>
      </x:c>
      <x:c r="Q1" s="7" t="str">
        <x:v>이동 효과</x:v>
      </x:c>
      <x:c r="R1" s="7" t="str">
        <x:v>직전 탄 조건</x:v>
      </x:c>
      <x:c r="S1" s="7" t="str">
        <x:v>다음 탄 조건</x:v>
      </x:c>
      <x:c r="T1" s="7" t="str">
        <x:v>탄창 위치 조건</x:v>
      </x:c>
      <x:c r="U1" s="7" t="str">
        <x:v>탄창 구성 조건</x:v>
      </x:c>
      <x:c r="V1" s="7" t="str">
        <x:v>주효과 종류</x:v>
      </x:c>
      <x:c r="W1" s="7" t="str">
        <x:v>주효과 기본값</x:v>
      </x:c>
      <x:c r="X1" s="7" t="str">
        <x:v>부가효과</x:v>
      </x:c>
      <x:c r="Y1" s="7" t="str">
        <x:v>부가효과 값</x:v>
      </x:c>
      <x:c r="Z1" s="7" t="str">
        <x:v>발동 조건</x:v>
      </x:c>
      <x:c r="AA1" s="7" t="str">
        <x:v>효과 상세</x:v>
      </x:c>
      <x:c r="AB1" s="7" t="str">
        <x:v>짧은 툴팁</x:v>
      </x:c>
      <x:c r="AC1" s="7" t="str">
        <x:v>밸런스 근거</x:v>
      </x:c>
      <x:c r="AD1" s="7" t="str">
        <x:v>구현 참고</x:v>
      </x:c>
      <x:c r="AE1" s="7" t="str">
        <x:v>즉시 화상 피해</x:v>
      </x:c>
      <x:c r="AF1" s="7" t="str">
        <x:v>반동 회복</x:v>
      </x:c>
      <x:c r="AG1" s="7" t="str">
        <x:v>조건 화력 증가</x:v>
      </x:c>
      <x:c r="AH1" s="7" t="str">
        <x:v>체력 비례 증가 상한</x:v>
      </x:c>
      <x:c r="AI1" s="7" t="str">
        <x:v>처형 체력 조건 (%)</x:v>
      </x:c>
      <x:c r="AJ1" s="7" t="str">
        <x:v>취약 추가 증폭 (%)</x:v>
      </x:c>
      <x:c r="AK1" s="7" t="str">
        <x:v>취약 발동 추가 피해</x:v>
      </x:c>
      <x:c r="AL1" s="7" t="str">
        <x:v>취약 추가 턴</x:v>
      </x:c>
      <x:c r="AM1" s="7" t="str">
        <x:v>취약 추가 상처</x:v>
      </x:c>
      <x:c r="AN1" s="7" t="str">
        <x:v>발동 후 상처 보존</x:v>
      </x:c>
      <x:c r="AO1" s="7" t="str">
        <x:v>현재 화상 비례 (%)</x:v>
      </x:c>
      <x:c r="AP1" s="7" t="str">
        <x:v>점화 화력 증가</x:v>
      </x:c>
      <x:c r="AQ1" s="7" t="str">
        <x:v>현재 충격 배수 기준</x:v>
      </x:c>
      <x:c r="AR1" s="7" t="str">
        <x:v>현재 충격 증가 상한</x:v>
      </x:c>
      <x:c r="AS1" s="7" t="str">
        <x:v>연계/배열 증가 값</x:v>
      </x:c>
      <x:c r="AT1" s="7" t="str">
        <x:v>연계/배열 증가 방식</x:v>
      </x:c>
      <x:c r="AU1" s="7" t="str">
        <x:v>사격 전 이동 (m)</x:v>
      </x:c>
      <x:c r="AV1" s="7" t="str">
        <x:v>사격 후 이동 (m)</x:v>
      </x:c>
      <x:c r="AW1" s="7" t="str">
        <x:v>희귀도</x:v>
      </x:c>
      <x:c r="AX1" s="7" t="str">
        <x:v>반동 전환 증가 상한</x:v>
      </x:c>
      <x:c r="AY1" s="7" t="str">
        <x:v>연계/배열 대상</x:v>
      </x:c>
    </x:row>
    <x:row r="2" ht="26.399999618530273" hidden="0" customHeight="1">
      <x:c r="A2" s="3" t="str">
        <x:v>ball</x:v>
      </x:c>
      <x:c r="B2" s="3" t="str">
        <x:v>표준탄</x:v>
      </x:c>
      <x:c r="C2" s="3" t="str">
        <x:v>Ball Round</x:v>
      </x:c>
      <x:c r="D2" s="3" t="str">
        <x:v>확정</x:v>
      </x:c>
      <x:c r="E2" s="3" t="str">
        <x:v>체력 피해</x:v>
      </x:c>
      <x:c r="F2" s="3" t="str">
        <x:v>직접 효과</x:v>
      </x:c>
      <x:c r="G2" s="3" t="str">
        <x:v>적</x:v>
      </x:c>
      <x:c r="H2" s="10" t="n">
        <x:v>5</x:v>
      </x:c>
      <x:c r="I2" s="11" t="n">
        <x:v>0</x:v>
      </x:c>
      <x:c r="J2" s="10" t="n">
        <x:v>1</x:v>
      </x:c>
      <x:c r="K2" s="10" t="n">
        <x:v>0</x:v>
      </x:c>
      <x:c r="L2" s="10" t="n">
        <x:v>0</x:v>
      </x:c>
      <x:c r="M2" s="10" t="n">
        <x:v>0</x:v>
      </x:c>
      <x:c r="N2" s="10" t="n">
        <x:v>0</x:v>
      </x:c>
      <x:c r="O2" s="3" t="str">
        <x:v>사격 시작 시 취약하면 체력 화력 +50%</x:v>
      </x:c>
      <x:c r="P2" s="3" t="str"/>
      <x:c r="Q2" s="3" t="str"/>
      <x:c r="R2" s="3" t="str"/>
      <x:c r="S2" s="3" t="str"/>
      <x:c r="T2" s="3" t="str"/>
      <x:c r="U2" s="3" t="str"/>
      <x:c r="V2" s="3" t="str">
        <x:v>화력</x:v>
      </x:c>
      <x:c r="W2" s="3" t="str">
        <x:v>화력: 5</x:v>
      </x:c>
      <x:c r="X2" s="3" t="str"/>
      <x:c r="Y2" s="3" t="str"/>
      <x:c r="Z2" s="3" t="str"/>
      <x:c r="AA2" s="3" t="str">
        <x:v>기준 체력 피해</x:v>
      </x:c>
      <x:c r="AB2" s="3" t="str">
        <x:v>기준 체력 피해</x:v>
      </x:c>
      <x:c r="AC2" s="3" t="str">
        <x:v>기존 확정 수치 유지. 반동·거리·부착물·기존 상태에서 기존 전투 규칙을 재사용.</x:v>
      </x:c>
      <x:c r="AD2" s="3" t="str">
        <x:v>기본 반동 값은 1. P220의 표준탄 특성 적용 시 실제 반동 0.</x:v>
      </x:c>
      <x:c r="AE2" s="10" t="n">
        <x:v>0</x:v>
      </x:c>
      <x:c r="AF2" s="10" t="n">
        <x:v>0</x:v>
      </x:c>
      <x:c r="AG2" s="10" t="n">
        <x:v>0</x:v>
      </x:c>
      <x:c r="AH2" s="10" t="n">
        <x:v>0</x:v>
      </x:c>
      <x:c r="AI2" s="10" t="n">
        <x:v>0</x:v>
      </x:c>
      <x:c r="AJ2" s="10" t="n">
        <x:v>0</x:v>
      </x:c>
      <x:c r="AK2" s="10" t="n">
        <x:v>0</x:v>
      </x:c>
      <x:c r="AL2" s="10" t="n">
        <x:v>0</x:v>
      </x:c>
      <x:c r="AM2" s="10" t="n">
        <x:v>0</x:v>
      </x:c>
      <x:c r="AN2" s="10" t="n">
        <x:v>0</x:v>
      </x:c>
      <x:c r="AO2" s="10" t="n">
        <x:v>0</x:v>
      </x:c>
      <x:c r="AP2" s="10" t="n">
        <x:v>0</x:v>
      </x:c>
      <x:c r="AQ2" s="10" t="n">
        <x:v>0</x:v>
      </x:c>
      <x:c r="AR2" s="10" t="n">
        <x:v>0</x:v>
      </x:c>
      <x:c r="AS2" s="10" t="n">
        <x:v>0</x:v>
      </x:c>
      <x:c r="AT2" s="3" t="str"/>
      <x:c r="AU2" s="10" t="n">
        <x:v>0</x:v>
      </x:c>
      <x:c r="AV2" s="10" t="n">
        <x:v>0</x:v>
      </x:c>
      <x:c r="AW2" s="3" t="str">
        <x:v>일반</x:v>
      </x:c>
      <x:c r="AX2" s="8" t="n">
        <x:v>0</x:v>
      </x:c>
      <x:c r="AY2" s="3" t="str"/>
    </x:row>
    <x:row r="3" ht="26.399999618530273" hidden="0" customHeight="1">
      <x:c r="A3" s="3" t="str">
        <x:v>hollowPoint</x:v>
      </x:c>
      <x:c r="B3" s="3" t="str">
        <x:v>중공탄</x:v>
      </x:c>
      <x:c r="C3" s="3" t="str">
        <x:v>Hollow Point</x:v>
      </x:c>
      <x:c r="D3" s="3" t="str">
        <x:v>확정</x:v>
      </x:c>
      <x:c r="E3" s="3" t="str">
        <x:v>체력 피해</x:v>
      </x:c>
      <x:c r="F3" s="3" t="str">
        <x:v>직접 효과</x:v>
      </x:c>
      <x:c r="G3" s="3" t="str">
        <x:v>적</x:v>
      </x:c>
      <x:c r="H3" s="10" t="n">
        <x:v>3</x:v>
      </x:c>
      <x:c r="I3" s="11" t="n">
        <x:v>0.1</x:v>
      </x:c>
      <x:c r="J3" s="10" t="n">
        <x:v>1</x:v>
      </x:c>
      <x:c r="K3" s="10" t="n">
        <x:v>0</x:v>
      </x:c>
      <x:c r="L3" s="10" t="n">
        <x:v>0</x:v>
      </x:c>
      <x:c r="M3" s="10" t="n">
        <x:v>0</x:v>
      </x:c>
      <x:c r="N3" s="10" t="n">
        <x:v>0</x:v>
      </x:c>
      <x:c r="O3" s="3" t="str">
        <x:v>사격 시작 시 취약하면 체력 화력 +50%</x:v>
      </x:c>
      <x:c r="P3" s="3" t="str"/>
      <x:c r="Q3" s="3" t="str"/>
      <x:c r="R3" s="3" t="str"/>
      <x:c r="S3" s="3" t="str"/>
      <x:c r="T3" s="3" t="str"/>
      <x:c r="U3" s="3" t="str"/>
      <x:c r="V3" s="3" t="str">
        <x:v>화력</x:v>
      </x:c>
      <x:c r="W3" s="3" t="str">
        <x:v>화력: 3</x:v>
      </x:c>
      <x:c r="X3" s="3" t="str"/>
      <x:c r="Y3" s="3" t="str"/>
      <x:c r="Z3" s="3" t="str">
        <x:v>현재 체력 10당 +1, 최대 +3</x:v>
      </x:c>
      <x:c r="AA3" s="3" t="str">
        <x:v>현재 체력 10당 피해 +1, 최대 +3</x:v>
      </x:c>
      <x:c r="AB3" s="3" t="str">
        <x:v>현재 체력 10당 화력 +1 · 최대 +3</x:v>
      </x:c>
      <x:c r="AC3" s="3" t="str">
        <x:v>기존 확정 수치 유지. 반동·거리·부착물·기존 상태에서 기존 전투 규칙을 재사용.</x:v>
      </x:c>
      <x:c r="AD3" s="3" t="str">
        <x:v>비례율은 1/체력 배수. 실제 추가 피해는 버림 및 상한 적용.</x:v>
      </x:c>
      <x:c r="AE3" s="10" t="n">
        <x:v>0</x:v>
      </x:c>
      <x:c r="AF3" s="10" t="n">
        <x:v>0</x:v>
      </x:c>
      <x:c r="AG3" s="10" t="n">
        <x:v>0</x:v>
      </x:c>
      <x:c r="AH3" s="10" t="n">
        <x:v>3</x:v>
      </x:c>
      <x:c r="AI3" s="10" t="n">
        <x:v>0</x:v>
      </x:c>
      <x:c r="AJ3" s="10" t="n">
        <x:v>0</x:v>
      </x:c>
      <x:c r="AK3" s="10" t="n">
        <x:v>0</x:v>
      </x:c>
      <x:c r="AL3" s="10" t="n">
        <x:v>0</x:v>
      </x:c>
      <x:c r="AM3" s="10" t="n">
        <x:v>0</x:v>
      </x:c>
      <x:c r="AN3" s="10" t="n">
        <x:v>0</x:v>
      </x:c>
      <x:c r="AO3" s="10" t="n">
        <x:v>0</x:v>
      </x:c>
      <x:c r="AP3" s="10" t="n">
        <x:v>0</x:v>
      </x:c>
      <x:c r="AQ3" s="10" t="n">
        <x:v>0</x:v>
      </x:c>
      <x:c r="AR3" s="10" t="n">
        <x:v>0</x:v>
      </x:c>
      <x:c r="AS3" s="10" t="n">
        <x:v>0</x:v>
      </x:c>
      <x:c r="AT3" s="3" t="str"/>
      <x:c r="AU3" s="10" t="n">
        <x:v>0</x:v>
      </x:c>
      <x:c r="AV3" s="10" t="n">
        <x:v>0</x:v>
      </x:c>
      <x:c r="AW3" s="3" t="str">
        <x:v>일반</x:v>
      </x:c>
      <x:c r="AX3" s="8" t="n">
        <x:v>0</x:v>
      </x:c>
      <x:c r="AY3" s="3" t="str"/>
    </x:row>
    <x:row r="4" ht="26.399999618530273" hidden="0" customHeight="1">
      <x:c r="A4" s="3" t="str">
        <x:v>lowRecoil</x:v>
      </x:c>
      <x:c r="B4" s="3" t="str">
        <x:v>저반동탄</x:v>
      </x:c>
      <x:c r="C4" s="3" t="str">
        <x:v>Low-Recoil Round</x:v>
      </x:c>
      <x:c r="D4" s="3" t="str">
        <x:v>확정</x:v>
      </x:c>
      <x:c r="E4" s="3" t="str">
        <x:v>체력 피해</x:v>
      </x:c>
      <x:c r="F4" s="3" t="str">
        <x:v>직접 효과</x:v>
      </x:c>
      <x:c r="G4" s="3" t="str">
        <x:v>적</x:v>
      </x:c>
      <x:c r="H4" s="10" t="n">
        <x:v>3</x:v>
      </x:c>
      <x:c r="I4" s="11" t="n">
        <x:v>0</x:v>
      </x:c>
      <x:c r="J4" s="10" t="n">
        <x:v>0</x:v>
      </x:c>
      <x:c r="K4" s="10" t="n">
        <x:v>0</x:v>
      </x:c>
      <x:c r="L4" s="10" t="n">
        <x:v>0</x:v>
      </x:c>
      <x:c r="M4" s="10" t="n">
        <x:v>0</x:v>
      </x:c>
      <x:c r="N4" s="10" t="n">
        <x:v>0</x:v>
      </x:c>
      <x:c r="O4" s="3" t="str">
        <x:v>사격 시작 시 취약하면 체력 화력 +50%</x:v>
      </x:c>
      <x:c r="P4" s="3" t="str"/>
      <x:c r="Q4" s="3" t="str"/>
      <x:c r="R4" s="3" t="str"/>
      <x:c r="S4" s="3" t="str"/>
      <x:c r="T4" s="3" t="str"/>
      <x:c r="U4" s="3" t="str"/>
      <x:c r="V4" s="3" t="str">
        <x:v>화력</x:v>
      </x:c>
      <x:c r="W4" s="3" t="str">
        <x:v>화력: 3</x:v>
      </x:c>
      <x:c r="X4" s="3" t="str">
        <x:v>반동 회복</x:v>
      </x:c>
      <x:c r="Y4" s="3" t="str">
        <x:v>반동 회복: 2</x:v>
      </x:c>
      <x:c r="Z4" s="3" t="str"/>
      <x:c r="AA4" s="3" t="str">
        <x:v>낮은 피해 · 반동 없음 · 사격 전 누적 반동 2 회복</x:v>
      </x:c>
      <x:c r="AB4" s="3" t="str">
        <x:v>사격 전 누적 반동 2 회복</x:v>
      </x:c>
      <x:c r="AC4" s="3" t="str">
        <x:v>기존 확정 수치 유지. 반동·거리·부착물·기존 상태에서 기존 전투 규칙을 재사용.</x:v>
      </x:c>
      <x:c r="AD4" s="3" t="str"/>
      <x:c r="AE4" s="10" t="n">
        <x:v>0</x:v>
      </x:c>
      <x:c r="AF4" s="10" t="n">
        <x:v>2</x:v>
      </x:c>
      <x:c r="AG4" s="10" t="n">
        <x:v>0</x:v>
      </x:c>
      <x:c r="AH4" s="10" t="n">
        <x:v>0</x:v>
      </x:c>
      <x:c r="AI4" s="10" t="n">
        <x:v>0</x:v>
      </x:c>
      <x:c r="AJ4" s="10" t="n">
        <x:v>0</x:v>
      </x:c>
      <x:c r="AK4" s="10" t="n">
        <x:v>0</x:v>
      </x:c>
      <x:c r="AL4" s="10" t="n">
        <x:v>0</x:v>
      </x:c>
      <x:c r="AM4" s="10" t="n">
        <x:v>0</x:v>
      </x:c>
      <x:c r="AN4" s="10" t="n">
        <x:v>0</x:v>
      </x:c>
      <x:c r="AO4" s="10" t="n">
        <x:v>0</x:v>
      </x:c>
      <x:c r="AP4" s="10" t="n">
        <x:v>0</x:v>
      </x:c>
      <x:c r="AQ4" s="10" t="n">
        <x:v>0</x:v>
      </x:c>
      <x:c r="AR4" s="10" t="n">
        <x:v>0</x:v>
      </x:c>
      <x:c r="AS4" s="10" t="n">
        <x:v>0</x:v>
      </x:c>
      <x:c r="AT4" s="3" t="str"/>
      <x:c r="AU4" s="10" t="n">
        <x:v>0</x:v>
      </x:c>
      <x:c r="AV4" s="10" t="n">
        <x:v>0</x:v>
      </x:c>
      <x:c r="AW4" s="3" t="str">
        <x:v>일반</x:v>
      </x:c>
      <x:c r="AX4" s="8" t="n">
        <x:v>0</x:v>
      </x:c>
      <x:c r="AY4" s="3" t="str"/>
    </x:row>
    <x:row r="5" ht="26.399999618530273" hidden="0" customHeight="1">
      <x:c r="A5" s="3" t="str">
        <x:v>plusP</x:v>
      </x:c>
      <x:c r="B5" s="3" t="str">
        <x:v>고압탄</x:v>
      </x:c>
      <x:c r="C5" s="3" t="str">
        <x:v>+P Round</x:v>
      </x:c>
      <x:c r="D5" s="3" t="str">
        <x:v>확정</x:v>
      </x:c>
      <x:c r="E5" s="3" t="str">
        <x:v>체력 피해</x:v>
      </x:c>
      <x:c r="F5" s="3" t="str">
        <x:v>직접 효과</x:v>
      </x:c>
      <x:c r="G5" s="3" t="str">
        <x:v>적</x:v>
      </x:c>
      <x:c r="H5" s="10" t="n">
        <x:v>8</x:v>
      </x:c>
      <x:c r="I5" s="11" t="n">
        <x:v>0</x:v>
      </x:c>
      <x:c r="J5" s="10" t="n">
        <x:v>3</x:v>
      </x:c>
      <x:c r="K5" s="10" t="n">
        <x:v>0</x:v>
      </x:c>
      <x:c r="L5" s="10" t="n">
        <x:v>0</x:v>
      </x:c>
      <x:c r="M5" s="10" t="n">
        <x:v>0</x:v>
      </x:c>
      <x:c r="N5" s="10" t="n">
        <x:v>0</x:v>
      </x:c>
      <x:c r="O5" s="3" t="str">
        <x:v>사격 시작 시 취약하면 체력 화력 +50%</x:v>
      </x:c>
      <x:c r="P5" s="3" t="str"/>
      <x:c r="Q5" s="3" t="str"/>
      <x:c r="R5" s="3" t="str"/>
      <x:c r="S5" s="3" t="str"/>
      <x:c r="T5" s="3" t="str"/>
      <x:c r="U5" s="3" t="str"/>
      <x:c r="V5" s="3" t="str">
        <x:v>화력</x:v>
      </x:c>
      <x:c r="W5" s="3" t="str">
        <x:v>화력: 8</x:v>
      </x:c>
      <x:c r="X5" s="3" t="str"/>
      <x:c r="Y5" s="3" t="str"/>
      <x:c r="Z5" s="3" t="str"/>
      <x:c r="AA5" s="3" t="str">
        <x:v>높은 피해 · 반동 3</x:v>
      </x:c>
      <x:c r="AB5" s="3" t="str">
        <x:v>높은 피해 · 반동 3</x:v>
      </x:c>
      <x:c r="AC5" s="3" t="str">
        <x:v>기존 확정 수치 유지. 반동·거리·부착물·기존 상태에서 기존 전투 규칙을 재사용.</x:v>
      </x:c>
      <x:c r="AD5" s="3" t="str"/>
      <x:c r="AE5" s="10" t="n">
        <x:v>0</x:v>
      </x:c>
      <x:c r="AF5" s="10" t="n">
        <x:v>0</x:v>
      </x:c>
      <x:c r="AG5" s="10" t="n">
        <x:v>0</x:v>
      </x:c>
      <x:c r="AH5" s="10" t="n">
        <x:v>0</x:v>
      </x:c>
      <x:c r="AI5" s="10" t="n">
        <x:v>0</x:v>
      </x:c>
      <x:c r="AJ5" s="10" t="n">
        <x:v>0</x:v>
      </x:c>
      <x:c r="AK5" s="10" t="n">
        <x:v>0</x:v>
      </x:c>
      <x:c r="AL5" s="10" t="n">
        <x:v>0</x:v>
      </x:c>
      <x:c r="AM5" s="10" t="n">
        <x:v>0</x:v>
      </x:c>
      <x:c r="AN5" s="10" t="n">
        <x:v>0</x:v>
      </x:c>
      <x:c r="AO5" s="10" t="n">
        <x:v>0</x:v>
      </x:c>
      <x:c r="AP5" s="10" t="n">
        <x:v>0</x:v>
      </x:c>
      <x:c r="AQ5" s="10" t="n">
        <x:v>0</x:v>
      </x:c>
      <x:c r="AR5" s="10" t="n">
        <x:v>0</x:v>
      </x:c>
      <x:c r="AS5" s="10" t="n">
        <x:v>0</x:v>
      </x:c>
      <x:c r="AT5" s="3" t="str"/>
      <x:c r="AU5" s="10" t="n">
        <x:v>0</x:v>
      </x:c>
      <x:c r="AV5" s="10" t="n">
        <x:v>0</x:v>
      </x:c>
      <x:c r="AW5" s="3" t="str">
        <x:v>일반</x:v>
      </x:c>
      <x:c r="AX5" s="8" t="n">
        <x:v>0</x:v>
      </x:c>
      <x:c r="AY5" s="3" t="str"/>
    </x:row>
    <x:row r="6" ht="26.399999618530273" hidden="0" customHeight="1">
      <x:c r="A6" s="3" t="str">
        <x:v>relay</x:v>
      </x:c>
      <x:c r="B6" s="3" t="str">
        <x:v>연계탄</x:v>
      </x:c>
      <x:c r="C6" s="3" t="str">
        <x:v>Relay Round</x:v>
      </x:c>
      <x:c r="D6" s="3" t="str">
        <x:v>확정</x:v>
      </x:c>
      <x:c r="E6" s="3" t="str">
        <x:v>체력 피해</x:v>
      </x:c>
      <x:c r="F6" s="3" t="str">
        <x:v>탄약 연계</x:v>
      </x:c>
      <x:c r="G6" s="3" t="str">
        <x:v>적 + 탄약</x:v>
      </x:c>
      <x:c r="H6" s="10" t="n">
        <x:v>2</x:v>
      </x:c>
      <x:c r="I6" s="11" t="n">
        <x:v>0</x:v>
      </x:c>
      <x:c r="J6" s="10" t="n">
        <x:v>0</x:v>
      </x:c>
      <x:c r="K6" s="10" t="n">
        <x:v>0</x:v>
      </x:c>
      <x:c r="L6" s="10" t="n">
        <x:v>0</x:v>
      </x:c>
      <x:c r="M6" s="10" t="n">
        <x:v>0</x:v>
      </x:c>
      <x:c r="N6" s="10" t="n">
        <x:v>0</x:v>
      </x:c>
      <x:c r="O6" s="3" t="str">
        <x:v>사격 시작 시 취약하면 체력 화력 +50%</x:v>
      </x:c>
      <x:c r="P6" s="3" t="str"/>
      <x:c r="Q6" s="3" t="str"/>
      <x:c r="R6" s="3" t="str"/>
      <x:c r="S6" s="3" t="str">
        <x:v>· 바로 다음 한 발만</x:v>
      </x:c>
      <x:c r="T6" s="3" t="str"/>
      <x:c r="U6" s="3" t="str"/>
      <x:c r="V6" s="3" t="str">
        <x:v>화력</x:v>
      </x:c>
      <x:c r="W6" s="3" t="str">
        <x:v>화력: 2</x:v>
      </x:c>
      <x:c r="X6" s="3" t="str">
        <x:v>바로 다음 탄 화력 +4</x:v>
      </x:c>
      <x:c r="Y6" s="3" t="str">
        <x:v>다음 탄: 4</x:v>
      </x:c>
      <x:c r="Z6" s="3" t="str">
        <x:v>바로 다음 탄 화력 +4</x:v>
      </x:c>
      <x:c r="AA6" s="3" t="str">
        <x:v>바로 다음 탄 화력 +4 · 바로 다음 탄 화력 +4</x:v>
      </x:c>
      <x:c r="AB6" s="3" t="str">
        <x:v>바로 다음 탄 화력 +4</x:v>
      </x:c>
      <x:c r="AC6" s="3" t="str">
        <x:v>기존 확정 수치 유지. 반동·거리·부착물·기존 상태에서 기존 전투 규칙을 재사용.</x:v>
      </x:c>
      <x:c r="AD6" s="3" t="str">
        <x:v>배열은 최종 확정 탄창. 연계는 직전 발사와 다음 발. 복사 수치는 취약·거리·반동·외부 충격 부착물 보정 전.</x:v>
      </x:c>
      <x:c r="AE6" s="10" t="n">
        <x:v>0</x:v>
      </x:c>
      <x:c r="AF6" s="10" t="n">
        <x:v>0</x:v>
      </x:c>
      <x:c r="AG6" s="10" t="n">
        <x:v>0</x:v>
      </x:c>
      <x:c r="AH6" s="10" t="n">
        <x:v>0</x:v>
      </x:c>
      <x:c r="AI6" s="10" t="n">
        <x:v>0</x:v>
      </x:c>
      <x:c r="AJ6" s="10" t="n">
        <x:v>0</x:v>
      </x:c>
      <x:c r="AK6" s="10" t="n">
        <x:v>0</x:v>
      </x:c>
      <x:c r="AL6" s="10" t="n">
        <x:v>0</x:v>
      </x:c>
      <x:c r="AM6" s="10" t="n">
        <x:v>0</x:v>
      </x:c>
      <x:c r="AN6" s="10" t="n">
        <x:v>0</x:v>
      </x:c>
      <x:c r="AO6" s="10" t="n">
        <x:v>0</x:v>
      </x:c>
      <x:c r="AP6" s="10" t="n">
        <x:v>0</x:v>
      </x:c>
      <x:c r="AQ6" s="10" t="n">
        <x:v>0</x:v>
      </x:c>
      <x:c r="AR6" s="10" t="n">
        <x:v>0</x:v>
      </x:c>
      <x:c r="AS6" s="10" t="n">
        <x:v>4</x:v>
      </x:c>
      <x:c r="AT6" s="3" t="str">
        <x:v>정수 추가</x:v>
      </x:c>
      <x:c r="AU6" s="10" t="n">
        <x:v>0</x:v>
      </x:c>
      <x:c r="AV6" s="10" t="n">
        <x:v>0</x:v>
      </x:c>
      <x:c r="AW6" s="3" t="str">
        <x:v>일반</x:v>
      </x:c>
      <x:c r="AX6" s="8" t="n">
        <x:v>0</x:v>
      </x:c>
      <x:c r="AY6" s="3" t="str">
        <x:v>화력</x:v>
      </x:c>
    </x:row>
    <x:row r="7" ht="26.399999618530273" hidden="0" customHeight="1">
      <x:c r="A7" s="3" t="str">
        <x:v>frangible</x:v>
      </x:c>
      <x:c r="B7" s="3" t="str">
        <x:v>파쇄탄</x:v>
      </x:c>
      <x:c r="C7" s="3" t="str">
        <x:v>Frangible Round</x:v>
      </x:c>
      <x:c r="D7" s="3" t="str">
        <x:v>확정</x:v>
      </x:c>
      <x:c r="E7" s="3" t="str">
        <x:v>체력 피해</x:v>
      </x:c>
      <x:c r="F7" s="3" t="str">
        <x:v>직접 효과</x:v>
      </x:c>
      <x:c r="G7" s="3" t="str">
        <x:v>적</x:v>
      </x:c>
      <x:c r="H7" s="10" t="n">
        <x:v>4</x:v>
      </x:c>
      <x:c r="I7" s="11" t="n">
        <x:v>0</x:v>
      </x:c>
      <x:c r="J7" s="10" t="n">
        <x:v>1</x:v>
      </x:c>
      <x:c r="K7" s="10" t="n">
        <x:v>0</x:v>
      </x:c>
      <x:c r="L7" s="10" t="n">
        <x:v>0</x:v>
      </x:c>
      <x:c r="M7" s="10" t="n">
        <x:v>0</x:v>
      </x:c>
      <x:c r="N7" s="10" t="n">
        <x:v>0</x:v>
      </x:c>
      <x:c r="O7" s="3" t="str">
        <x:v>사격 시작 시 취약하면 체력 화력 +50%</x:v>
      </x:c>
      <x:c r="P7" s="3" t="str"/>
      <x:c r="Q7" s="3" t="str"/>
      <x:c r="R7" s="3" t="str"/>
      <x:c r="S7" s="3" t="str"/>
      <x:c r="T7" s="3" t="str"/>
      <x:c r="U7" s="3" t="str"/>
      <x:c r="V7" s="3" t="str">
        <x:v>화력</x:v>
      </x:c>
      <x:c r="W7" s="3" t="str">
        <x:v>화력: 4</x:v>
      </x:c>
      <x:c r="X7" s="3" t="str">
        <x:v>취약 대상 화력</x:v>
      </x:c>
      <x:c r="Y7" s="3" t="str">
        <x:v>취약 대상 화력: 2</x:v>
      </x:c>
      <x:c r="Z7" s="3" t="str">
        <x:v>사격 시작 시 취약</x:v>
      </x:c>
      <x:c r="AA7" s="3" t="str">
        <x:v>취약한 적에게 피해 +2</x:v>
      </x:c>
      <x:c r="AB7" s="3" t="str">
        <x:v>취약 대상 화력 +2</x:v>
      </x:c>
      <x:c r="AC7" s="3" t="str">
        <x:v>기존 확정 수치 유지. 반동·거리·부착물·기존 상태에서 기존 전투 규칙을 재사용.</x:v>
      </x:c>
      <x:c r="AD7" s="3" t="str"/>
      <x:c r="AE7" s="10" t="n">
        <x:v>0</x:v>
      </x:c>
      <x:c r="AF7" s="10" t="n">
        <x:v>0</x:v>
      </x:c>
      <x:c r="AG7" s="10" t="n">
        <x:v>2</x:v>
      </x:c>
      <x:c r="AH7" s="10" t="n">
        <x:v>0</x:v>
      </x:c>
      <x:c r="AI7" s="10" t="n">
        <x:v>0</x:v>
      </x:c>
      <x:c r="AJ7" s="10" t="n">
        <x:v>0</x:v>
      </x:c>
      <x:c r="AK7" s="10" t="n">
        <x:v>0</x:v>
      </x:c>
      <x:c r="AL7" s="10" t="n">
        <x:v>0</x:v>
      </x:c>
      <x:c r="AM7" s="10" t="n">
        <x:v>0</x:v>
      </x:c>
      <x:c r="AN7" s="10" t="n">
        <x:v>0</x:v>
      </x:c>
      <x:c r="AO7" s="10" t="n">
        <x:v>0</x:v>
      </x:c>
      <x:c r="AP7" s="10" t="n">
        <x:v>0</x:v>
      </x:c>
      <x:c r="AQ7" s="10" t="n">
        <x:v>0</x:v>
      </x:c>
      <x:c r="AR7" s="10" t="n">
        <x:v>0</x:v>
      </x:c>
      <x:c r="AS7" s="10" t="n">
        <x:v>0</x:v>
      </x:c>
      <x:c r="AT7" s="3" t="str"/>
      <x:c r="AU7" s="10" t="n">
        <x:v>0</x:v>
      </x:c>
      <x:c r="AV7" s="10" t="n">
        <x:v>0</x:v>
      </x:c>
      <x:c r="AW7" s="3" t="str">
        <x:v>일반</x:v>
      </x:c>
      <x:c r="AX7" s="8" t="n">
        <x:v>0</x:v>
      </x:c>
      <x:c r="AY7" s="3" t="str"/>
    </x:row>
    <x:row r="8" ht="26.399999618530273" hidden="0" customHeight="1">
      <x:c r="A8" s="3" t="str">
        <x:v>suppression</x:v>
      </x:c>
      <x:c r="B8" s="3" t="str">
        <x:v>제압탄</x:v>
      </x:c>
      <x:c r="C8" s="3" t="str">
        <x:v>Suppression Round</x:v>
      </x:c>
      <x:c r="D8" s="3" t="str">
        <x:v>확정</x:v>
      </x:c>
      <x:c r="E8" s="3" t="str">
        <x:v>체력 피해</x:v>
      </x:c>
      <x:c r="F8" s="3" t="str">
        <x:v>직접 효과</x:v>
      </x:c>
      <x:c r="G8" s="3" t="str">
        <x:v>적</x:v>
      </x:c>
      <x:c r="H8" s="10" t="n">
        <x:v>3</x:v>
      </x:c>
      <x:c r="I8" s="11" t="n">
        <x:v>0</x:v>
      </x:c>
      <x:c r="J8" s="10" t="n">
        <x:v>1</x:v>
      </x:c>
      <x:c r="K8" s="10" t="n">
        <x:v>0</x:v>
      </x:c>
      <x:c r="L8" s="10" t="n">
        <x:v>0</x:v>
      </x:c>
      <x:c r="M8" s="10" t="n">
        <x:v>0</x:v>
      </x:c>
      <x:c r="N8" s="10" t="n">
        <x:v>0</x:v>
      </x:c>
      <x:c r="O8" s="3" t="str">
        <x:v>사격 시작 시 취약하면 체력 화력 +50%</x:v>
      </x:c>
      <x:c r="P8" s="3" t="str"/>
      <x:c r="Q8" s="3" t="str"/>
      <x:c r="R8" s="3" t="str"/>
      <x:c r="S8" s="3" t="str"/>
      <x:c r="T8" s="3" t="str"/>
      <x:c r="U8" s="3" t="str"/>
      <x:c r="V8" s="3" t="str">
        <x:v>화력</x:v>
      </x:c>
      <x:c r="W8" s="3" t="str">
        <x:v>화력: 3</x:v>
      </x:c>
      <x:c r="X8" s="3" t="str">
        <x:v>행동 중단 대상 화력</x:v>
      </x:c>
      <x:c r="Y8" s="3" t="str">
        <x:v>행동 중단 대상 화력: 3</x:v>
      </x:c>
      <x:c r="Z8" s="3" t="str">
        <x:v>현재 충격이 다음 행동 임계치 이상</x:v>
      </x:c>
      <x:c r="AA8" s="3" t="str">
        <x:v>충격으로 다음 행동이 중단될 적에게 피해 +3</x:v>
      </x:c>
      <x:c r="AB8" s="3" t="str">
        <x:v>현재 충격이 다음 행동 임계치 이상이면 화력 +3</x:v>
      </x:c>
      <x:c r="AC8" s="3" t="str">
        <x:v>기존 확정 수치 유지. 반동·거리·부착물·기존 상태에서 기존 전투 규칙을 재사용.</x:v>
      </x:c>
      <x:c r="AD8" s="3" t="str"/>
      <x:c r="AE8" s="10" t="n">
        <x:v>0</x:v>
      </x:c>
      <x:c r="AF8" s="10" t="n">
        <x:v>0</x:v>
      </x:c>
      <x:c r="AG8" s="10" t="n">
        <x:v>3</x:v>
      </x:c>
      <x:c r="AH8" s="10" t="n">
        <x:v>0</x:v>
      </x:c>
      <x:c r="AI8" s="10" t="n">
        <x:v>0</x:v>
      </x:c>
      <x:c r="AJ8" s="10" t="n">
        <x:v>0</x:v>
      </x:c>
      <x:c r="AK8" s="10" t="n">
        <x:v>0</x:v>
      </x:c>
      <x:c r="AL8" s="10" t="n">
        <x:v>0</x:v>
      </x:c>
      <x:c r="AM8" s="10" t="n">
        <x:v>0</x:v>
      </x:c>
      <x:c r="AN8" s="10" t="n">
        <x:v>0</x:v>
      </x:c>
      <x:c r="AO8" s="10" t="n">
        <x:v>0</x:v>
      </x:c>
      <x:c r="AP8" s="10" t="n">
        <x:v>0</x:v>
      </x:c>
      <x:c r="AQ8" s="10" t="n">
        <x:v>0</x:v>
      </x:c>
      <x:c r="AR8" s="10" t="n">
        <x:v>0</x:v>
      </x:c>
      <x:c r="AS8" s="10" t="n">
        <x:v>0</x:v>
      </x:c>
      <x:c r="AT8" s="3" t="str"/>
      <x:c r="AU8" s="10" t="n">
        <x:v>0</x:v>
      </x:c>
      <x:c r="AV8" s="10" t="n">
        <x:v>0</x:v>
      </x:c>
      <x:c r="AW8" s="3" t="str">
        <x:v>일반</x:v>
      </x:c>
      <x:c r="AX8" s="8" t="n">
        <x:v>0</x:v>
      </x:c>
      <x:c r="AY8" s="3" t="str"/>
    </x:row>
    <x:row r="9" ht="26.399999618530273" hidden="0" customHeight="1">
      <x:c r="A9" s="3" t="str">
        <x:v>execution</x:v>
      </x:c>
      <x:c r="B9" s="3" t="str">
        <x:v>처형탄</x:v>
      </x:c>
      <x:c r="C9" s="3" t="str">
        <x:v>Execution Round</x:v>
      </x:c>
      <x:c r="D9" s="3" t="str">
        <x:v>확정</x:v>
      </x:c>
      <x:c r="E9" s="3" t="str">
        <x:v>체력 피해</x:v>
      </x:c>
      <x:c r="F9" s="3" t="str">
        <x:v>직접 효과</x:v>
      </x:c>
      <x:c r="G9" s="3" t="str">
        <x:v>적</x:v>
      </x:c>
      <x:c r="H9" s="10" t="n">
        <x:v>3</x:v>
      </x:c>
      <x:c r="I9" s="11" t="n">
        <x:v>0</x:v>
      </x:c>
      <x:c r="J9" s="10" t="n">
        <x:v>1</x:v>
      </x:c>
      <x:c r="K9" s="10" t="n">
        <x:v>0</x:v>
      </x:c>
      <x:c r="L9" s="10" t="n">
        <x:v>0</x:v>
      </x:c>
      <x:c r="M9" s="10" t="n">
        <x:v>0</x:v>
      </x:c>
      <x:c r="N9" s="10" t="n">
        <x:v>0</x:v>
      </x:c>
      <x:c r="O9" s="3" t="str">
        <x:v>사격 시작 시 취약하면 체력 화력 +50%</x:v>
      </x:c>
      <x:c r="P9" s="3" t="str"/>
      <x:c r="Q9" s="3" t="str"/>
      <x:c r="R9" s="3" t="str"/>
      <x:c r="S9" s="3" t="str"/>
      <x:c r="T9" s="3" t="str"/>
      <x:c r="U9" s="3" t="str"/>
      <x:c r="V9" s="3" t="str">
        <x:v>화력</x:v>
      </x:c>
      <x:c r="W9" s="3" t="str">
        <x:v>화력: 3</x:v>
      </x:c>
      <x:c r="X9" s="3" t="str">
        <x:v>처형 화력</x:v>
      </x:c>
      <x:c r="Y9" s="3" t="str">
        <x:v>처형 화력: 4</x:v>
      </x:c>
      <x:c r="Z9" s="3" t="str">
        <x:v>현재 체력 30% 이하</x:v>
      </x:c>
      <x:c r="AA9" s="3" t="str">
        <x:v>체력 30% 이하 적에게 피해 +4</x:v>
      </x:c>
      <x:c r="AB9" s="3" t="str">
        <x:v>체력 30% 이하 대상 화력 +4</x:v>
      </x:c>
      <x:c r="AC9" s="3" t="str">
        <x:v>기존 확정 수치 유지. 반동·거리·부착물·기존 상태에서 기존 전투 규칙을 재사용.</x:v>
      </x:c>
      <x:c r="AD9" s="3" t="str"/>
      <x:c r="AE9" s="10" t="n">
        <x:v>0</x:v>
      </x:c>
      <x:c r="AF9" s="10" t="n">
        <x:v>0</x:v>
      </x:c>
      <x:c r="AG9" s="10" t="n">
        <x:v>4</x:v>
      </x:c>
      <x:c r="AH9" s="10" t="n">
        <x:v>0</x:v>
      </x:c>
      <x:c r="AI9" s="10" t="n">
        <x:v>30</x:v>
      </x:c>
      <x:c r="AJ9" s="10" t="n">
        <x:v>0</x:v>
      </x:c>
      <x:c r="AK9" s="10" t="n">
        <x:v>0</x:v>
      </x:c>
      <x:c r="AL9" s="10" t="n">
        <x:v>0</x:v>
      </x:c>
      <x:c r="AM9" s="10" t="n">
        <x:v>0</x:v>
      </x:c>
      <x:c r="AN9" s="10" t="n">
        <x:v>0</x:v>
      </x:c>
      <x:c r="AO9" s="10" t="n">
        <x:v>0</x:v>
      </x:c>
      <x:c r="AP9" s="10" t="n">
        <x:v>0</x:v>
      </x:c>
      <x:c r="AQ9" s="10" t="n">
        <x:v>0</x:v>
      </x:c>
      <x:c r="AR9" s="10" t="n">
        <x:v>0</x:v>
      </x:c>
      <x:c r="AS9" s="10" t="n">
        <x:v>0</x:v>
      </x:c>
      <x:c r="AT9" s="3" t="str"/>
      <x:c r="AU9" s="10" t="n">
        <x:v>0</x:v>
      </x:c>
      <x:c r="AV9" s="10" t="n">
        <x:v>0</x:v>
      </x:c>
      <x:c r="AW9" s="3" t="str">
        <x:v>일반</x:v>
      </x:c>
      <x:c r="AX9" s="8" t="n">
        <x:v>0</x:v>
      </x:c>
      <x:c r="AY9" s="3" t="str"/>
    </x:row>
    <x:row r="10" ht="26.399999618530273" hidden="0" customHeight="1">
      <x:c r="A10" s="3" t="str">
        <x:v>kickback</x:v>
      </x:c>
      <x:c r="B10" s="3" t="str">
        <x:v>반동탄</x:v>
      </x:c>
      <x:c r="C10" s="3" t="str">
        <x:v>Kickback Round</x:v>
      </x:c>
      <x:c r="D10" s="3" t="str">
        <x:v>확정</x:v>
      </x:c>
      <x:c r="E10" s="3" t="str">
        <x:v>체력 피해</x:v>
      </x:c>
      <x:c r="F10" s="3" t="str">
        <x:v>직접 효과</x:v>
      </x:c>
      <x:c r="G10" s="3" t="str">
        <x:v>적</x:v>
      </x:c>
      <x:c r="H10" s="10" t="n">
        <x:v>2</x:v>
      </x:c>
      <x:c r="I10" s="11" t="n">
        <x:v>0</x:v>
      </x:c>
      <x:c r="J10" s="10" t="n">
        <x:v>0</x:v>
      </x:c>
      <x:c r="K10" s="10" t="n">
        <x:v>0</x:v>
      </x:c>
      <x:c r="L10" s="10" t="n">
        <x:v>0</x:v>
      </x:c>
      <x:c r="M10" s="10" t="n">
        <x:v>0</x:v>
      </x:c>
      <x:c r="N10" s="10" t="n">
        <x:v>0</x:v>
      </x:c>
      <x:c r="O10" s="3" t="str">
        <x:v>사격 시작 시 취약하면 체력 화력 +50%</x:v>
      </x:c>
      <x:c r="P10" s="3" t="str"/>
      <x:c r="Q10" s="3" t="str"/>
      <x:c r="R10" s="3" t="str"/>
      <x:c r="S10" s="3" t="str"/>
      <x:c r="T10" s="3" t="str"/>
      <x:c r="U10" s="3" t="str"/>
      <x:c r="V10" s="3" t="str">
        <x:v>화력</x:v>
      </x:c>
      <x:c r="W10" s="3" t="str">
        <x:v>화력: 2</x:v>
      </x:c>
      <x:c r="X10" s="3" t="str"/>
      <x:c r="Y10" s="3" t="str"/>
      <x:c r="Z10" s="3" t="str">
        <x:v>기존 반동만큼 화력 증가, 최대 +6; 반동 전부 소비</x:v>
      </x:c>
      <x:c r="AA10" s="3" t="str">
        <x:v>누적 반동만큼 피해 증가, 반동 전부 소모</x:v>
      </x:c>
      <x:c r="AB10" s="3" t="str">
        <x:v>기존 반동만큼 화력 증가 · 최대 +6 · 반동 전부 소비</x:v>
      </x:c>
      <x:c r="AC10" s="3" t="str">
        <x:v>기존 확정 수치 유지. 반동·거리·부착물·기존 상태에서 기존 전투 규칙을 재사용.</x:v>
      </x:c>
      <x:c r="AD10" s="3" t="str"/>
      <x:c r="AE10" s="10" t="n">
        <x:v>0</x:v>
      </x:c>
      <x:c r="AF10" s="10" t="n">
        <x:v>0</x:v>
      </x:c>
      <x:c r="AG10" s="10" t="n">
        <x:v>0</x:v>
      </x:c>
      <x:c r="AH10" s="10" t="n">
        <x:v>0</x:v>
      </x:c>
      <x:c r="AI10" s="10" t="n">
        <x:v>0</x:v>
      </x:c>
      <x:c r="AJ10" s="10" t="n">
        <x:v>0</x:v>
      </x:c>
      <x:c r="AK10" s="10" t="n">
        <x:v>0</x:v>
      </x:c>
      <x:c r="AL10" s="10" t="n">
        <x:v>0</x:v>
      </x:c>
      <x:c r="AM10" s="10" t="n">
        <x:v>0</x:v>
      </x:c>
      <x:c r="AN10" s="10" t="n">
        <x:v>0</x:v>
      </x:c>
      <x:c r="AO10" s="10" t="n">
        <x:v>0</x:v>
      </x:c>
      <x:c r="AP10" s="10" t="n">
        <x:v>0</x:v>
      </x:c>
      <x:c r="AQ10" s="10" t="n">
        <x:v>0</x:v>
      </x:c>
      <x:c r="AR10" s="10" t="n">
        <x:v>0</x:v>
      </x:c>
      <x:c r="AS10" s="10" t="n">
        <x:v>0</x:v>
      </x:c>
      <x:c r="AT10" s="3" t="str"/>
      <x:c r="AU10" s="10" t="n">
        <x:v>0</x:v>
      </x:c>
      <x:c r="AV10" s="10" t="n">
        <x:v>0</x:v>
      </x:c>
      <x:c r="AW10" s="3" t="str">
        <x:v>일반</x:v>
      </x:c>
      <x:c r="AX10" s="8" t="n">
        <x:v>6</x:v>
      </x:c>
      <x:c r="AY10" s="3" t="str"/>
    </x:row>
    <x:row r="11" ht="26.399999618530273" hidden="0" customHeight="1">
      <x:c r="A11" s="3" t="str">
        <x:v>laceration</x:v>
      </x:c>
      <x:c r="B11" s="3" t="str">
        <x:v>열상탄</x:v>
      </x:c>
      <x:c r="C11" s="3" t="str">
        <x:v>Laceration Round</x:v>
      </x:c>
      <x:c r="D11" s="3" t="str">
        <x:v>확정</x:v>
      </x:c>
      <x:c r="E11" s="3" t="str">
        <x:v>체력 피해</x:v>
      </x:c>
      <x:c r="F11" s="3" t="str">
        <x:v>직접 효과</x:v>
      </x:c>
      <x:c r="G11" s="3" t="str">
        <x:v>적</x:v>
      </x:c>
      <x:c r="H11" s="10" t="n">
        <x:v>5</x:v>
      </x:c>
      <x:c r="I11" s="11" t="n">
        <x:v>0</x:v>
      </x:c>
      <x:c r="J11" s="10" t="n">
        <x:v>1</x:v>
      </x:c>
      <x:c r="K11" s="10" t="n">
        <x:v>0</x:v>
      </x:c>
      <x:c r="L11" s="10" t="n">
        <x:v>0</x:v>
      </x:c>
      <x:c r="M11" s="10" t="n">
        <x:v>0</x:v>
      </x:c>
      <x:c r="N11" s="10" t="n">
        <x:v>0</x:v>
      </x:c>
      <x:c r="O11" s="3" t="str">
        <x:v>사격 시작 시 취약하면 체력 화력 +100%</x:v>
      </x:c>
      <x:c r="P11" s="3" t="str"/>
      <x:c r="Q11" s="3" t="str"/>
      <x:c r="R11" s="3" t="str"/>
      <x:c r="S11" s="3" t="str"/>
      <x:c r="T11" s="3" t="str"/>
      <x:c r="U11" s="3" t="str"/>
      <x:c r="V11" s="3" t="str">
        <x:v>화력</x:v>
      </x:c>
      <x:c r="W11" s="3" t="str">
        <x:v>화력: 5</x:v>
      </x:c>
      <x:c r="X11" s="3" t="str">
        <x:v>취약 추가 증폭 (%)</x:v>
      </x:c>
      <x:c r="Y11" s="3" t="str">
        <x:v>취약 추가 증폭 (%): 50</x:v>
      </x:c>
      <x:c r="Z11" s="3" t="str"/>
      <x:c r="AA11" s="3" t="str">
        <x:v>기본 화력 5 · 취약 대상 체력 피해 +100%</x:v>
      </x:c>
      <x:c r="AB11" s="3" t="str">
        <x:v>취약 대상 체력 화력 +100%</x:v>
      </x:c>
      <x:c r="AC11" s="3" t="str">
        <x:v>기존 확정 수치 유지. 반동·거리·부착물·기존 상태에서 기존 전투 규칙을 재사용.</x:v>
      </x:c>
      <x:c r="AD11" s="3" t="str"/>
      <x:c r="AE11" s="10" t="n">
        <x:v>0</x:v>
      </x:c>
      <x:c r="AF11" s="10" t="n">
        <x:v>0</x:v>
      </x:c>
      <x:c r="AG11" s="10" t="n">
        <x:v>0</x:v>
      </x:c>
      <x:c r="AH11" s="10" t="n">
        <x:v>0</x:v>
      </x:c>
      <x:c r="AI11" s="10" t="n">
        <x:v>0</x:v>
      </x:c>
      <x:c r="AJ11" s="10" t="n">
        <x:v>50</x:v>
      </x:c>
      <x:c r="AK11" s="10" t="n">
        <x:v>0</x:v>
      </x:c>
      <x:c r="AL11" s="10" t="n">
        <x:v>0</x:v>
      </x:c>
      <x:c r="AM11" s="10" t="n">
        <x:v>0</x:v>
      </x:c>
      <x:c r="AN11" s="10" t="n">
        <x:v>0</x:v>
      </x:c>
      <x:c r="AO11" s="10" t="n">
        <x:v>0</x:v>
      </x:c>
      <x:c r="AP11" s="10" t="n">
        <x:v>0</x:v>
      </x:c>
      <x:c r="AQ11" s="10" t="n">
        <x:v>0</x:v>
      </x:c>
      <x:c r="AR11" s="10" t="n">
        <x:v>0</x:v>
      </x:c>
      <x:c r="AS11" s="10" t="n">
        <x:v>0</x:v>
      </x:c>
      <x:c r="AT11" s="3" t="str"/>
      <x:c r="AU11" s="10" t="n">
        <x:v>0</x:v>
      </x:c>
      <x:c r="AV11" s="10" t="n">
        <x:v>0</x:v>
      </x:c>
      <x:c r="AW11" s="3" t="str">
        <x:v>일반</x:v>
      </x:c>
      <x:c r="AX11" s="8" t="n">
        <x:v>0</x:v>
      </x:c>
      <x:c r="AY11" s="3" t="str"/>
    </x:row>
    <x:row r="12" ht="26.399999618530273" hidden="0" customHeight="1">
      <x:c r="A12" s="3" t="str">
        <x:v>retreat</x:v>
      </x:c>
      <x:c r="B12" s="3" t="str">
        <x:v>후퇴탄</x:v>
      </x:c>
      <x:c r="C12" s="3" t="str">
        <x:v>Retreat Round</x:v>
      </x:c>
      <x:c r="D12" s="3" t="str">
        <x:v>확정</x:v>
      </x:c>
      <x:c r="E12" s="3" t="str">
        <x:v>체력 피해</x:v>
      </x:c>
      <x:c r="F12" s="3" t="str">
        <x:v>직접 효과</x:v>
      </x:c>
      <x:c r="G12" s="3" t="str">
        <x:v>적</x:v>
      </x:c>
      <x:c r="H12" s="10" t="n">
        <x:v>3</x:v>
      </x:c>
      <x:c r="I12" s="11" t="n">
        <x:v>0</x:v>
      </x:c>
      <x:c r="J12" s="10" t="n">
        <x:v>1</x:v>
      </x:c>
      <x:c r="K12" s="10" t="n">
        <x:v>0</x:v>
      </x:c>
      <x:c r="L12" s="10" t="n">
        <x:v>0</x:v>
      </x:c>
      <x:c r="M12" s="10" t="n">
        <x:v>0</x:v>
      </x:c>
      <x:c r="N12" s="10" t="n">
        <x:v>0</x:v>
      </x:c>
      <x:c r="O12" s="3" t="str">
        <x:v>사격 시작 시 취약하면 체력 화력 +50%</x:v>
      </x:c>
      <x:c r="P12" s="3" t="str"/>
      <x:c r="Q12" s="3" t="str">
        <x:v>사격 후 2m 후퇴</x:v>
      </x:c>
      <x:c r="R12" s="3" t="str"/>
      <x:c r="S12" s="3" t="str"/>
      <x:c r="T12" s="3" t="str"/>
      <x:c r="U12" s="3" t="str"/>
      <x:c r="V12" s="3" t="str">
        <x:v>화력</x:v>
      </x:c>
      <x:c r="W12" s="3" t="str">
        <x:v>화력: 3</x:v>
      </x:c>
      <x:c r="X12" s="3" t="str"/>
      <x:c r="Y12" s="3" t="str"/>
      <x:c r="Z12" s="3" t="str"/>
      <x:c r="AA12" s="3" t="str">
        <x:v>현재 거리에서 사격 후 2m 후퇴 · 사격 후 2m 후퇴</x:v>
      </x:c>
      <x:c r="AB12" s="3" t="str">
        <x:v>사격 후 2m 후퇴</x:v>
      </x:c>
      <x:c r="AC12" s="3" t="str">
        <x:v>기존 확정 수치 유지. 반동·거리·부착물·기존 상태에서 기존 전투 규칙을 재사용.</x:v>
      </x:c>
      <x:c r="AD12" s="3" t="str"/>
      <x:c r="AE12" s="10" t="n">
        <x:v>0</x:v>
      </x:c>
      <x:c r="AF12" s="10" t="n">
        <x:v>0</x:v>
      </x:c>
      <x:c r="AG12" s="10" t="n">
        <x:v>0</x:v>
      </x:c>
      <x:c r="AH12" s="10" t="n">
        <x:v>0</x:v>
      </x:c>
      <x:c r="AI12" s="10" t="n">
        <x:v>0</x:v>
      </x:c>
      <x:c r="AJ12" s="10" t="n">
        <x:v>0</x:v>
      </x:c>
      <x:c r="AK12" s="10" t="n">
        <x:v>0</x:v>
      </x:c>
      <x:c r="AL12" s="10" t="n">
        <x:v>0</x:v>
      </x:c>
      <x:c r="AM12" s="10" t="n">
        <x:v>0</x:v>
      </x:c>
      <x:c r="AN12" s="10" t="n">
        <x:v>0</x:v>
      </x:c>
      <x:c r="AO12" s="10" t="n">
        <x:v>0</x:v>
      </x:c>
      <x:c r="AP12" s="10" t="n">
        <x:v>0</x:v>
      </x:c>
      <x:c r="AQ12" s="10" t="n">
        <x:v>0</x:v>
      </x:c>
      <x:c r="AR12" s="10" t="n">
        <x:v>0</x:v>
      </x:c>
      <x:c r="AS12" s="10" t="n">
        <x:v>0</x:v>
      </x:c>
      <x:c r="AT12" s="3" t="str"/>
      <x:c r="AU12" s="10" t="n">
        <x:v>0</x:v>
      </x:c>
      <x:c r="AV12" s="10" t="n">
        <x:v>2</x:v>
      </x:c>
      <x:c r="AW12" s="3" t="str">
        <x:v>일반</x:v>
      </x:c>
      <x:c r="AX12" s="8" t="n">
        <x:v>0</x:v>
      </x:c>
      <x:c r="AY12" s="3" t="str"/>
    </x:row>
    <x:row r="13" ht="26.399999618530273" hidden="0" customHeight="1">
      <x:c r="A13" s="3" t="str">
        <x:v>advance</x:v>
      </x:c>
      <x:c r="B13" s="3" t="str">
        <x:v>돌진탄</x:v>
      </x:c>
      <x:c r="C13" s="3" t="str">
        <x:v>Advance Round</x:v>
      </x:c>
      <x:c r="D13" s="3" t="str">
        <x:v>확정</x:v>
      </x:c>
      <x:c r="E13" s="3" t="str">
        <x:v>체력 피해</x:v>
      </x:c>
      <x:c r="F13" s="3" t="str">
        <x:v>직접 효과</x:v>
      </x:c>
      <x:c r="G13" s="3" t="str">
        <x:v>적</x:v>
      </x:c>
      <x:c r="H13" s="10" t="n">
        <x:v>6</x:v>
      </x:c>
      <x:c r="I13" s="11" t="n">
        <x:v>0</x:v>
      </x:c>
      <x:c r="J13" s="10" t="n">
        <x:v>2</x:v>
      </x:c>
      <x:c r="K13" s="10" t="n">
        <x:v>0</x:v>
      </x:c>
      <x:c r="L13" s="10" t="n">
        <x:v>0</x:v>
      </x:c>
      <x:c r="M13" s="10" t="n">
        <x:v>0</x:v>
      </x:c>
      <x:c r="N13" s="10" t="n">
        <x:v>0</x:v>
      </x:c>
      <x:c r="O13" s="3" t="str">
        <x:v>사격 시작 시 취약하면 체력 화력 +50%</x:v>
      </x:c>
      <x:c r="P13" s="3" t="str"/>
      <x:c r="Q13" s="3" t="str">
        <x:v>사격 전 2m 전진</x:v>
      </x:c>
      <x:c r="R13" s="3" t="str"/>
      <x:c r="S13" s="3" t="str"/>
      <x:c r="T13" s="3" t="str"/>
      <x:c r="U13" s="3" t="str"/>
      <x:c r="V13" s="3" t="str">
        <x:v>화력</x:v>
      </x:c>
      <x:c r="W13" s="3" t="str">
        <x:v>화력: 6</x:v>
      </x:c>
      <x:c r="X13" s="3" t="str"/>
      <x:c r="Y13" s="3" t="str"/>
      <x:c r="Z13" s="3" t="str"/>
      <x:c r="AA13" s="3" t="str">
        <x:v>2m 전진한 거리에서 강한 사격 · 사격 전 2m 전진</x:v>
      </x:c>
      <x:c r="AB13" s="3" t="str">
        <x:v>사격 전 2m 전진</x:v>
      </x:c>
      <x:c r="AC13" s="3" t="str">
        <x:v>기존 확정 수치 유지. 반동·거리·부착물·기존 상태에서 기존 전투 규칙을 재사용.</x:v>
      </x:c>
      <x:c r="AD13" s="3" t="str"/>
      <x:c r="AE13" s="10" t="n">
        <x:v>0</x:v>
      </x:c>
      <x:c r="AF13" s="10" t="n">
        <x:v>0</x:v>
      </x:c>
      <x:c r="AG13" s="10" t="n">
        <x:v>0</x:v>
      </x:c>
      <x:c r="AH13" s="10" t="n">
        <x:v>0</x:v>
      </x:c>
      <x:c r="AI13" s="10" t="n">
        <x:v>0</x:v>
      </x:c>
      <x:c r="AJ13" s="10" t="n">
        <x:v>0</x:v>
      </x:c>
      <x:c r="AK13" s="10" t="n">
        <x:v>0</x:v>
      </x:c>
      <x:c r="AL13" s="10" t="n">
        <x:v>0</x:v>
      </x:c>
      <x:c r="AM13" s="10" t="n">
        <x:v>0</x:v>
      </x:c>
      <x:c r="AN13" s="10" t="n">
        <x:v>0</x:v>
      </x:c>
      <x:c r="AO13" s="10" t="n">
        <x:v>0</x:v>
      </x:c>
      <x:c r="AP13" s="10" t="n">
        <x:v>0</x:v>
      </x:c>
      <x:c r="AQ13" s="10" t="n">
        <x:v>0</x:v>
      </x:c>
      <x:c r="AR13" s="10" t="n">
        <x:v>0</x:v>
      </x:c>
      <x:c r="AS13" s="10" t="n">
        <x:v>0</x:v>
      </x:c>
      <x:c r="AT13" s="3" t="str"/>
      <x:c r="AU13" s="10" t="n">
        <x:v>-2</x:v>
      </x:c>
      <x:c r="AV13" s="10" t="n">
        <x:v>0</x:v>
      </x:c>
      <x:c r="AW13" s="3" t="str">
        <x:v>일반</x:v>
      </x:c>
      <x:c r="AX13" s="8" t="n">
        <x:v>0</x:v>
      </x:c>
      <x:c r="AY13" s="3" t="str"/>
    </x:row>
    <x:row r="14" ht="26.399999618530273" hidden="0" customHeight="1">
      <x:c r="A14" s="3" t="str">
        <x:v>wounding</x:v>
      </x:c>
      <x:c r="B14" s="3" t="str">
        <x:v>절개탄</x:v>
      </x:c>
      <x:c r="C14" s="3" t="str">
        <x:v>Wounding Round</x:v>
      </x:c>
      <x:c r="D14" s="3" t="str">
        <x:v>확정</x:v>
      </x:c>
      <x:c r="E14" s="3" t="str">
        <x:v>상처</x:v>
      </x:c>
      <x:c r="F14" s="3" t="str">
        <x:v>직접 효과</x:v>
      </x:c>
      <x:c r="G14" s="3" t="str">
        <x:v>적</x:v>
      </x:c>
      <x:c r="H14" s="10" t="n">
        <x:v>2</x:v>
      </x:c>
      <x:c r="I14" s="11" t="n">
        <x:v>0</x:v>
      </x:c>
      <x:c r="J14" s="10" t="n">
        <x:v>1</x:v>
      </x:c>
      <x:c r="K14" s="10" t="n">
        <x:v>0</x:v>
      </x:c>
      <x:c r="L14" s="10" t="n">
        <x:v>0</x:v>
      </x:c>
      <x:c r="M14" s="10" t="n">
        <x:v>3</x:v>
      </x:c>
      <x:c r="N14" s="10" t="n">
        <x:v>0</x:v>
      </x:c>
      <x:c r="O14" s="3" t="str">
        <x:v>사격 시작 시 취약하면 체력 화력 +50%</x:v>
      </x:c>
      <x:c r="P14" s="3" t="str"/>
      <x:c r="Q14" s="3" t="str"/>
      <x:c r="R14" s="3" t="str"/>
      <x:c r="S14" s="3" t="str"/>
      <x:c r="T14" s="3" t="str"/>
      <x:c r="U14" s="3" t="str"/>
      <x:c r="V14" s="3" t="str">
        <x:v>상처</x:v>
      </x:c>
      <x:c r="W14" s="3" t="str">
        <x:v>상처: 3</x:v>
      </x:c>
      <x:c r="X14" s="3" t="str">
        <x:v>화력</x:v>
      </x:c>
      <x:c r="Y14" s="3" t="str">
        <x:v>화력: 2</x:v>
      </x:c>
      <x:c r="Z14" s="3" t="str"/>
      <x:c r="AA14" s="3" t="str">
        <x:v>피해 2 · 상처 +3 · 임계치 도달 시 취약</x:v>
      </x:c>
      <x:c r="AB14" s="3" t="str">
        <x:v>피해 2 · 상처 +3 · 임계치 도달 시 취약</x:v>
      </x:c>
      <x:c r="AC14" s="3" t="str">
        <x:v>기존 확정 수치 유지. 반동·거리·부착물·기존 상태에서 기존 전투 규칙을 재사용.</x:v>
      </x:c>
      <x:c r="AD14" s="3" t="str"/>
      <x:c r="AE14" s="10" t="n">
        <x:v>0</x:v>
      </x:c>
      <x:c r="AF14" s="10" t="n">
        <x:v>0</x:v>
      </x:c>
      <x:c r="AG14" s="10" t="n">
        <x:v>0</x:v>
      </x:c>
      <x:c r="AH14" s="10" t="n">
        <x:v>0</x:v>
      </x:c>
      <x:c r="AI14" s="10" t="n">
        <x:v>0</x:v>
      </x:c>
      <x:c r="AJ14" s="10" t="n">
        <x:v>0</x:v>
      </x:c>
      <x:c r="AK14" s="10" t="n">
        <x:v>0</x:v>
      </x:c>
      <x:c r="AL14" s="10" t="n">
        <x:v>0</x:v>
      </x:c>
      <x:c r="AM14" s="10" t="n">
        <x:v>0</x:v>
      </x:c>
      <x:c r="AN14" s="10" t="n">
        <x:v>0</x:v>
      </x:c>
      <x:c r="AO14" s="10" t="n">
        <x:v>0</x:v>
      </x:c>
      <x:c r="AP14" s="10" t="n">
        <x:v>0</x:v>
      </x:c>
      <x:c r="AQ14" s="10" t="n">
        <x:v>0</x:v>
      </x:c>
      <x:c r="AR14" s="10" t="n">
        <x:v>0</x:v>
      </x:c>
      <x:c r="AS14" s="10" t="n">
        <x:v>0</x:v>
      </x:c>
      <x:c r="AT14" s="3" t="str"/>
      <x:c r="AU14" s="10" t="n">
        <x:v>0</x:v>
      </x:c>
      <x:c r="AV14" s="10" t="n">
        <x:v>0</x:v>
      </x:c>
      <x:c r="AW14" s="3" t="str">
        <x:v>일반</x:v>
      </x:c>
      <x:c r="AX14" s="8" t="n">
        <x:v>0</x:v>
      </x:c>
      <x:c r="AY14" s="3" t="str"/>
    </x:row>
    <x:row r="15" ht="26.399999618530273" hidden="0" customHeight="1">
      <x:c r="A15" s="3" t="str">
        <x:v>serrated</x:v>
      </x:c>
      <x:c r="B15" s="3" t="str">
        <x:v>톱니탄</x:v>
      </x:c>
      <x:c r="C15" s="3" t="str">
        <x:v>Serrated Round</x:v>
      </x:c>
      <x:c r="D15" s="3" t="str">
        <x:v>확정</x:v>
      </x:c>
      <x:c r="E15" s="3" t="str">
        <x:v>상처</x:v>
      </x:c>
      <x:c r="F15" s="3" t="str">
        <x:v>직접 효과</x:v>
      </x:c>
      <x:c r="G15" s="3" t="str">
        <x:v>적</x:v>
      </x:c>
      <x:c r="H15" s="10" t="n">
        <x:v>2</x:v>
      </x:c>
      <x:c r="I15" s="11" t="n">
        <x:v>0</x:v>
      </x:c>
      <x:c r="J15" s="10" t="n">
        <x:v>3</x:v>
      </x:c>
      <x:c r="K15" s="10" t="n">
        <x:v>0</x:v>
      </x:c>
      <x:c r="L15" s="10" t="n">
        <x:v>0</x:v>
      </x:c>
      <x:c r="M15" s="10" t="n">
        <x:v>5</x:v>
      </x:c>
      <x:c r="N15" s="10" t="n">
        <x:v>0</x:v>
      </x:c>
      <x:c r="O15" s="3" t="str">
        <x:v>사격 시작 시 취약하면 체력 화력 +50%</x:v>
      </x:c>
      <x:c r="P15" s="3" t="str"/>
      <x:c r="Q15" s="3" t="str"/>
      <x:c r="R15" s="3" t="str"/>
      <x:c r="S15" s="3" t="str"/>
      <x:c r="T15" s="3" t="str"/>
      <x:c r="U15" s="3" t="str"/>
      <x:c r="V15" s="3" t="str">
        <x:v>상처</x:v>
      </x:c>
      <x:c r="W15" s="3" t="str">
        <x:v>상처: 5</x:v>
      </x:c>
      <x:c r="X15" s="3" t="str">
        <x:v>화력</x:v>
      </x:c>
      <x:c r="Y15" s="3" t="str">
        <x:v>화력: 2</x:v>
      </x:c>
      <x:c r="Z15" s="3" t="str"/>
      <x:c r="AA15" s="3" t="str">
        <x:v>피해 2 · 상처 +5 · 반동 3</x:v>
      </x:c>
      <x:c r="AB15" s="3" t="str">
        <x:v>피해 2 · 상처 +5 · 반동 3</x:v>
      </x:c>
      <x:c r="AC15" s="3" t="str">
        <x:v>기존 확정 수치 유지. 반동·거리·부착물·기존 상태에서 기존 전투 규칙을 재사용.</x:v>
      </x:c>
      <x:c r="AD15" s="3" t="str"/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3" t="str"/>
      <x:c r="AU15" s="10" t="n">
        <x:v>0</x:v>
      </x:c>
      <x:c r="AV15" s="10" t="n">
        <x:v>0</x:v>
      </x:c>
      <x:c r="AW15" s="3" t="str">
        <x:v>일반</x:v>
      </x:c>
      <x:c r="AX15" s="8" t="n">
        <x:v>0</x:v>
      </x:c>
      <x:c r="AY15" s="3" t="str"/>
    </x:row>
    <x:row r="16" ht="26.399999618530273" hidden="0" customHeight="1">
      <x:c r="A16" s="3" t="str">
        <x:v>retreatCutter</x:v>
      </x:c>
      <x:c r="B16" s="3" t="str">
        <x:v>후퇴 절개탄</x:v>
      </x:c>
      <x:c r="C16" s="3" t="str">
        <x:v>Retreat Cutter</x:v>
      </x:c>
      <x:c r="D16" s="3" t="str">
        <x:v>확정</x:v>
      </x:c>
      <x:c r="E16" s="3" t="str">
        <x:v>상처</x:v>
      </x:c>
      <x:c r="F16" s="3" t="str">
        <x:v>직접 효과</x:v>
      </x:c>
      <x:c r="G16" s="3" t="str">
        <x:v>적</x:v>
      </x:c>
      <x:c r="H16" s="10" t="n">
        <x:v>1</x:v>
      </x:c>
      <x:c r="I16" s="11" t="n">
        <x:v>0</x:v>
      </x:c>
      <x:c r="J16" s="10" t="n">
        <x:v>1</x:v>
      </x:c>
      <x:c r="K16" s="10" t="n">
        <x:v>0</x:v>
      </x:c>
      <x:c r="L16" s="10" t="n">
        <x:v>0</x:v>
      </x:c>
      <x:c r="M16" s="10" t="n">
        <x:v>2</x:v>
      </x:c>
      <x:c r="N16" s="10" t="n">
        <x:v>0</x:v>
      </x:c>
      <x:c r="O16" s="3" t="str">
        <x:v>사격 시작 시 취약하면 체력 화력 +50%</x:v>
      </x:c>
      <x:c r="P16" s="3" t="str"/>
      <x:c r="Q16" s="3" t="str">
        <x:v>사격 후 2m 후퇴</x:v>
      </x:c>
      <x:c r="R16" s="3" t="str"/>
      <x:c r="S16" s="3" t="str"/>
      <x:c r="T16" s="3" t="str"/>
      <x:c r="U16" s="3" t="str"/>
      <x:c r="V16" s="3" t="str">
        <x:v>상처</x:v>
      </x:c>
      <x:c r="W16" s="3" t="str">
        <x:v>상처: 2</x:v>
      </x:c>
      <x:c r="X16" s="3" t="str">
        <x:v>화력</x:v>
      </x:c>
      <x:c r="Y16" s="3" t="str">
        <x:v>화력: 1</x:v>
      </x:c>
      <x:c r="Z16" s="3" t="str"/>
      <x:c r="AA16" s="3" t="str">
        <x:v>피해 1 · 상처 +2 · 사격 후 2m 후퇴 · 사격 후 2m 후퇴</x:v>
      </x:c>
      <x:c r="AB16" s="3" t="str">
        <x:v>사격 후 2m 후퇴</x:v>
      </x:c>
      <x:c r="AC16" s="3" t="str">
        <x:v>기존 확정 수치 유지. 반동·거리·부착물·기존 상태에서 기존 전투 규칙을 재사용.</x:v>
      </x:c>
      <x:c r="AD16" s="3" t="str"/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3" t="str"/>
      <x:c r="AU16" s="10" t="n">
        <x:v>0</x:v>
      </x:c>
      <x:c r="AV16" s="10" t="n">
        <x:v>2</x:v>
      </x:c>
      <x:c r="AW16" s="3" t="str">
        <x:v>일반</x:v>
      </x:c>
      <x:c r="AX16" s="8" t="n">
        <x:v>0</x:v>
      </x:c>
      <x:c r="AY16" s="3" t="str"/>
    </x:row>
    <x:row r="17" ht="26.399999618530273" hidden="0" customHeight="1">
      <x:c r="A17" s="3" t="str">
        <x:v>rupture</x:v>
      </x:c>
      <x:c r="B17" s="3" t="str">
        <x:v>파열탄</x:v>
      </x:c>
      <x:c r="C17" s="3" t="str">
        <x:v>Rupture Round</x:v>
      </x:c>
      <x:c r="D17" s="3" t="str">
        <x:v>확정</x:v>
      </x:c>
      <x:c r="E17" s="3" t="str">
        <x:v>상처</x:v>
      </x:c>
      <x:c r="F17" s="3" t="str">
        <x:v>직접 효과</x:v>
      </x:c>
      <x:c r="G17" s="3" t="str">
        <x:v>적</x:v>
      </x:c>
      <x:c r="H17" s="10" t="n">
        <x:v>2</x:v>
      </x:c>
      <x:c r="I17" s="11" t="n">
        <x:v>0</x:v>
      </x:c>
      <x:c r="J17" s="10" t="n">
        <x:v>1</x:v>
      </x:c>
      <x:c r="K17" s="10" t="n">
        <x:v>0</x:v>
      </x:c>
      <x:c r="L17" s="10" t="n">
        <x:v>0</x:v>
      </x:c>
      <x:c r="M17" s="10" t="n">
        <x:v>3</x:v>
      </x:c>
      <x:c r="N17" s="10" t="n">
        <x:v>0</x:v>
      </x:c>
      <x:c r="O17" s="3" t="str">
        <x:v>사격 시작 시 취약하면 체력 화력 +50% · 취약 발동 피해 +4</x:v>
      </x:c>
      <x:c r="P17" s="3" t="str"/>
      <x:c r="Q17" s="3" t="str"/>
      <x:c r="R17" s="3" t="str"/>
      <x:c r="S17" s="3" t="str"/>
      <x:c r="T17" s="3" t="str"/>
      <x:c r="U17" s="3" t="str"/>
      <x:c r="V17" s="3" t="str">
        <x:v>상처</x:v>
      </x:c>
      <x:c r="W17" s="3" t="str">
        <x:v>상처: 3</x:v>
      </x:c>
      <x:c r="X17" s="3" t="str">
        <x:v>취약 발동 추가 피해
화력</x:v>
      </x:c>
      <x:c r="Y17" s="3" t="str">
        <x:v>취약 발동 추가 피해: 4
화력: 2</x:v>
      </x:c>
      <x:c r="Z17" s="3" t="str">
        <x:v>취약 발동 피해 +4</x:v>
      </x:c>
      <x:c r="AA17" s="3" t="str">
        <x:v>이 탄으로 취약 발동 시 추가 피해 4</x:v>
      </x:c>
      <x:c r="AB17" s="3" t="str">
        <x:v>취약 발동 피해 +4</x:v>
      </x:c>
      <x:c r="AC17" s="3" t="str">
        <x:v>기존 확정 수치 유지. 반동·거리·부착물·기존 상태에서 기존 전투 규칙을 재사용.</x:v>
      </x:c>
      <x:c r="AD17" s="3" t="str"/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4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3" t="str"/>
      <x:c r="AU17" s="10" t="n">
        <x:v>0</x:v>
      </x:c>
      <x:c r="AV17" s="10" t="n">
        <x:v>0</x:v>
      </x:c>
      <x:c r="AW17" s="3" t="str">
        <x:v>일반</x:v>
      </x:c>
      <x:c r="AX17" s="8" t="n">
        <x:v>0</x:v>
      </x:c>
      <x:c r="AY17" s="3" t="str"/>
    </x:row>
    <x:row r="18" ht="26.399999618530273" hidden="0" customHeight="1">
      <x:c r="A18" s="3" t="str">
        <x:v>deepCut</x:v>
      </x:c>
      <x:c r="B18" s="3" t="str">
        <x:v>심부 절개탄</x:v>
      </x:c>
      <x:c r="C18" s="3" t="str">
        <x:v>Deep-Cut Round</x:v>
      </x:c>
      <x:c r="D18" s="3" t="str">
        <x:v>확정</x:v>
      </x:c>
      <x:c r="E18" s="3" t="str">
        <x:v>상처</x:v>
      </x:c>
      <x:c r="F18" s="3" t="str">
        <x:v>직접 효과</x:v>
      </x:c>
      <x:c r="G18" s="3" t="str">
        <x:v>적</x:v>
      </x:c>
      <x:c r="H18" s="10" t="n">
        <x:v>2</x:v>
      </x:c>
      <x:c r="I18" s="11" t="n">
        <x:v>0</x:v>
      </x:c>
      <x:c r="J18" s="10" t="n">
        <x:v>1</x:v>
      </x:c>
      <x:c r="K18" s="10" t="n">
        <x:v>0</x:v>
      </x:c>
      <x:c r="L18" s="10" t="n">
        <x:v>0</x:v>
      </x:c>
      <x:c r="M18" s="10" t="n">
        <x:v>3</x:v>
      </x:c>
      <x:c r="N18" s="10" t="n">
        <x:v>0</x:v>
      </x:c>
      <x:c r="O18" s="3" t="str">
        <x:v>사격 시작 시 취약하면 체력 화력 +50% · 취약 발동 지속 +1턴</x:v>
      </x:c>
      <x:c r="P18" s="3" t="str"/>
      <x:c r="Q18" s="3" t="str"/>
      <x:c r="R18" s="3" t="str"/>
      <x:c r="S18" s="3" t="str"/>
      <x:c r="T18" s="3" t="str"/>
      <x:c r="U18" s="3" t="str"/>
      <x:c r="V18" s="3" t="str">
        <x:v>상처</x:v>
      </x:c>
      <x:c r="W18" s="3" t="str">
        <x:v>상처: 3</x:v>
      </x:c>
      <x:c r="X18" s="3" t="str">
        <x:v>취약 추가 턴
화력</x:v>
      </x:c>
      <x:c r="Y18" s="3" t="str">
        <x:v>취약 추가 턴: 1
화력: 2</x:v>
      </x:c>
      <x:c r="Z18" s="3" t="str">
        <x:v>취약 발동 지속 +1턴</x:v>
      </x:c>
      <x:c r="AA18" s="3" t="str">
        <x:v>이 탄으로 취약 발동 시 지속시간 +1턴</x:v>
      </x:c>
      <x:c r="AB18" s="3" t="str">
        <x:v>취약 발동 지속 +1턴</x:v>
      </x:c>
      <x:c r="AC18" s="3" t="str">
        <x:v>기존 확정 수치 유지. 반동·거리·부착물·기존 상태에서 기존 전투 규칙을 재사용.</x:v>
      </x:c>
      <x:c r="AD18" s="3" t="str"/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1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3" t="str"/>
      <x:c r="AU18" s="10" t="n">
        <x:v>0</x:v>
      </x:c>
      <x:c r="AV18" s="10" t="n">
        <x:v>0</x:v>
      </x:c>
      <x:c r="AW18" s="3" t="str">
        <x:v>일반</x:v>
      </x:c>
      <x:c r="AX18" s="8" t="n">
        <x:v>0</x:v>
      </x:c>
      <x:c r="AY18" s="3" t="str"/>
    </x:row>
    <x:row r="19" ht="26.399999618530273" hidden="0" customHeight="1">
      <x:c r="A19" s="3" t="str">
        <x:v>reopening</x:v>
      </x:c>
      <x:c r="B19" s="3" t="str">
        <x:v>재개방탄</x:v>
      </x:c>
      <x:c r="C19" s="3" t="str">
        <x:v>Reopening Round</x:v>
      </x:c>
      <x:c r="D19" s="3" t="str">
        <x:v>확정</x:v>
      </x:c>
      <x:c r="E19" s="3" t="str">
        <x:v>상처</x:v>
      </x:c>
      <x:c r="F19" s="3" t="str">
        <x:v>직접 효과</x:v>
      </x:c>
      <x:c r="G19" s="3" t="str">
        <x:v>적</x:v>
      </x:c>
      <x:c r="H19" s="10" t="n">
        <x:v>2</x:v>
      </x:c>
      <x:c r="I19" s="11" t="n">
        <x:v>0</x:v>
      </x:c>
      <x:c r="J19" s="10" t="n">
        <x:v>1</x:v>
      </x:c>
      <x:c r="K19" s="10" t="n">
        <x:v>0</x:v>
      </x:c>
      <x:c r="L19" s="10" t="n">
        <x:v>0</x:v>
      </x:c>
      <x:c r="M19" s="10" t="n">
        <x:v>3</x:v>
      </x:c>
      <x:c r="N19" s="10" t="n">
        <x:v>0</x:v>
      </x:c>
      <x:c r="O19" s="3" t="str">
        <x:v>사격 시작 시 취약하면 체력 화력 +50% · 취약 대상 상처 +3</x:v>
      </x:c>
      <x:c r="P19" s="3" t="str"/>
      <x:c r="Q19" s="3" t="str"/>
      <x:c r="R19" s="3" t="str"/>
      <x:c r="S19" s="3" t="str"/>
      <x:c r="T19" s="3" t="str"/>
      <x:c r="U19" s="3" t="str"/>
      <x:c r="V19" s="3" t="str">
        <x:v>상처</x:v>
      </x:c>
      <x:c r="W19" s="3" t="str">
        <x:v>상처: 3</x:v>
      </x:c>
      <x:c r="X19" s="3" t="str">
        <x:v>취약 추가 상처
화력</x:v>
      </x:c>
      <x:c r="Y19" s="3" t="str">
        <x:v>취약 추가 상처: 3
화력: 2</x:v>
      </x:c>
      <x:c r="Z19" s="3" t="str">
        <x:v>취약 대상 상처 +3</x:v>
      </x:c>
      <x:c r="AA19" s="3" t="str">
        <x:v>사격 시작 시 취약 상태인 표적에게 상처 +3</x:v>
      </x:c>
      <x:c r="AB19" s="3" t="str">
        <x:v>취약 대상 상처 +3</x:v>
      </x:c>
      <x:c r="AC19" s="3" t="str">
        <x:v>기존 확정 수치 유지. 반동·거리·부착물·기존 상태에서 기존 전투 규칙을 재사용.</x:v>
      </x:c>
      <x:c r="AD19" s="3" t="str"/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3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3" t="str"/>
      <x:c r="AU19" s="10" t="n">
        <x:v>0</x:v>
      </x:c>
      <x:c r="AV19" s="10" t="n">
        <x:v>0</x:v>
      </x:c>
      <x:c r="AW19" s="3" t="str">
        <x:v>일반</x:v>
      </x:c>
      <x:c r="AX19" s="8" t="n">
        <x:v>0</x:v>
      </x:c>
      <x:c r="AY19" s="3" t="str"/>
    </x:row>
    <x:row r="20" ht="26.399999618530273" hidden="0" customHeight="1">
      <x:c r="A20" s="3" t="str">
        <x:v>scar</x:v>
      </x:c>
      <x:c r="B20" s="3" t="str">
        <x:v>흉터탄</x:v>
      </x:c>
      <x:c r="C20" s="3" t="str">
        <x:v>Scar Round</x:v>
      </x:c>
      <x:c r="D20" s="3" t="str">
        <x:v>확정</x:v>
      </x:c>
      <x:c r="E20" s="3" t="str">
        <x:v>상처</x:v>
      </x:c>
      <x:c r="F20" s="3" t="str">
        <x:v>직접 효과</x:v>
      </x:c>
      <x:c r="G20" s="3" t="str">
        <x:v>적</x:v>
      </x:c>
      <x:c r="H20" s="10" t="n">
        <x:v>2</x:v>
      </x:c>
      <x:c r="I20" s="11" t="n">
        <x:v>0</x:v>
      </x:c>
      <x:c r="J20" s="10" t="n">
        <x:v>1</x:v>
      </x:c>
      <x:c r="K20" s="10" t="n">
        <x:v>0</x:v>
      </x:c>
      <x:c r="L20" s="10" t="n">
        <x:v>0</x:v>
      </x:c>
      <x:c r="M20" s="10" t="n">
        <x:v>3</x:v>
      </x:c>
      <x:c r="N20" s="10" t="n">
        <x:v>0</x:v>
      </x:c>
      <x:c r="O20" s="3" t="str">
        <x:v>사격 시작 시 취약하면 체력 화력 +50% · 취약 발동 상처 최대 2 보존</x:v>
      </x:c>
      <x:c r="P20" s="3" t="str"/>
      <x:c r="Q20" s="3" t="str"/>
      <x:c r="R20" s="3" t="str"/>
      <x:c r="S20" s="3" t="str"/>
      <x:c r="T20" s="3" t="str"/>
      <x:c r="U20" s="3" t="str"/>
      <x:c r="V20" s="3" t="str">
        <x:v>상처</x:v>
      </x:c>
      <x:c r="W20" s="3" t="str">
        <x:v>상처: 3</x:v>
      </x:c>
      <x:c r="X20" s="3" t="str">
        <x:v>상처 보존
화력</x:v>
      </x:c>
      <x:c r="Y20" s="3" t="str">
        <x:v>상처 보존: 2
화력: 2</x:v>
      </x:c>
      <x:c r="Z20" s="3" t="str">
        <x:v>취약 발동 상처 최대 2 보존</x:v>
      </x:c>
      <x:c r="AA20" s="3" t="str">
        <x:v>이 탄으로 취약 발동 시 초과분에 더해 상처 최대 2 보존 · 임계치 미만 유지</x:v>
      </x:c>
      <x:c r="AB20" s="3" t="str">
        <x:v>취약 발동 상처 최대 2 보존</x:v>
      </x:c>
      <x:c r="AC20" s="3" t="str">
        <x:v>기존 확정 수치 유지. 반동·거리·부착물·기존 상태에서 기존 전투 규칙을 재사용.</x:v>
      </x:c>
      <x:c r="AD20" s="3" t="str"/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2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3" t="str"/>
      <x:c r="AU20" s="10" t="n">
        <x:v>0</x:v>
      </x:c>
      <x:c r="AV20" s="10" t="n">
        <x:v>0</x:v>
      </x:c>
      <x:c r="AW20" s="3" t="str">
        <x:v>일반</x:v>
      </x:c>
      <x:c r="AX20" s="8" t="n">
        <x:v>0</x:v>
      </x:c>
      <x:c r="AY20" s="3" t="str"/>
    </x:row>
    <x:row r="21" ht="26.399999618530273" hidden="0" customHeight="1">
      <x:c r="A21" s="3" t="str">
        <x:v>explosive</x:v>
      </x:c>
      <x:c r="B21" s="3" t="str">
        <x:v>폭발탄</x:v>
      </x:c>
      <x:c r="C21" s="3" t="str">
        <x:v>Explosive Round</x:v>
      </x:c>
      <x:c r="D21" s="3" t="str">
        <x:v>확정</x:v>
      </x:c>
      <x:c r="E21" s="3" t="str">
        <x:v>폭발</x:v>
      </x:c>
      <x:c r="F21" s="3" t="str">
        <x:v>직접 효과</x:v>
      </x:c>
      <x:c r="G21" s="3" t="str">
        <x:v>적</x:v>
      </x:c>
      <x:c r="H21" s="10" t="n">
        <x:v>3</x:v>
      </x:c>
      <x:c r="I21" s="11" t="n">
        <x:v>0</x:v>
      </x:c>
      <x:c r="J21" s="10" t="n">
        <x:v>1</x:v>
      </x:c>
      <x:c r="K21" s="10" t="n">
        <x:v>2</x:v>
      </x:c>
      <x:c r="L21" s="10" t="n">
        <x:v>0</x:v>
      </x:c>
      <x:c r="M21" s="10" t="n">
        <x:v>0</x:v>
      </x:c>
      <x:c r="N21" s="10" t="n">
        <x:v>0</x:v>
      </x:c>
      <x:c r="O21" s="3" t="str">
        <x:v>사격 시작 시 취약하면 체력 화력 +50%</x:v>
      </x:c>
      <x:c r="P21" s="3" t="str"/>
      <x:c r="Q21" s="3" t="str"/>
      <x:c r="R21" s="3" t="str"/>
      <x:c r="S21" s="3" t="str"/>
      <x:c r="T21" s="3" t="str"/>
      <x:c r="U21" s="3" t="str"/>
      <x:c r="V21" s="3" t="str">
        <x:v>폭발</x:v>
      </x:c>
      <x:c r="W21" s="3" t="str">
        <x:v>폭발: 2</x:v>
      </x:c>
      <x:c r="X21" s="3" t="str">
        <x:v>화력</x:v>
      </x:c>
      <x:c r="Y21" s="3" t="str">
        <x:v>화력: 3</x:v>
      </x:c>
      <x:c r="Z21" s="3" t="str"/>
      <x:c r="AA21" s="3" t="str">
        <x:v>폭발 +2 · 충격 탄약 명중 시 전량 기폭</x:v>
      </x:c>
      <x:c r="AB21" s="3" t="str">
        <x:v>폭발 +2 · 충격 탄약 명중 시 전량 기폭</x:v>
      </x:c>
      <x:c r="AC21" s="3" t="str">
        <x:v>기존 확정 수치 유지. 반동·거리·부착물·기존 상태에서 기존 전투 규칙을 재사용.</x:v>
      </x:c>
      <x:c r="AD21" s="3" t="str"/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3" t="str"/>
      <x:c r="AU21" s="10" t="n">
        <x:v>0</x:v>
      </x:c>
      <x:c r="AV21" s="10" t="n">
        <x:v>0</x:v>
      </x:c>
      <x:c r="AW21" s="3" t="str">
        <x:v>일반</x:v>
      </x:c>
      <x:c r="AX21" s="8" t="n">
        <x:v>0</x:v>
      </x:c>
      <x:c r="AY21" s="3" t="str"/>
    </x:row>
    <x:row r="22" ht="26.399999618530273" hidden="0" customHeight="1">
      <x:c r="A22" s="3" t="str">
        <x:v>highExplosive</x:v>
      </x:c>
      <x:c r="B22" s="3" t="str">
        <x:v>고폭탄</x:v>
      </x:c>
      <x:c r="C22" s="3" t="str">
        <x:v>High-Explosive Round</x:v>
      </x:c>
      <x:c r="D22" s="3" t="str">
        <x:v>확정</x:v>
      </x:c>
      <x:c r="E22" s="3" t="str">
        <x:v>폭발</x:v>
      </x:c>
      <x:c r="F22" s="3" t="str">
        <x:v>직접 효과</x:v>
      </x:c>
      <x:c r="G22" s="3" t="str">
        <x:v>적</x:v>
      </x:c>
      <x:c r="H22" s="10" t="n">
        <x:v>4</x:v>
      </x:c>
      <x:c r="I22" s="11" t="n">
        <x:v>0</x:v>
      </x:c>
      <x:c r="J22" s="10" t="n">
        <x:v>3</x:v>
      </x:c>
      <x:c r="K22" s="10" t="n">
        <x:v>3</x:v>
      </x:c>
      <x:c r="L22" s="10" t="n">
        <x:v>0</x:v>
      </x:c>
      <x:c r="M22" s="10" t="n">
        <x:v>0</x:v>
      </x:c>
      <x:c r="N22" s="10" t="n">
        <x:v>0</x:v>
      </x:c>
      <x:c r="O22" s="3" t="str">
        <x:v>사격 시작 시 취약하면 체력 화력 +50%</x:v>
      </x:c>
      <x:c r="P22" s="3" t="str"/>
      <x:c r="Q22" s="3" t="str"/>
      <x:c r="R22" s="3" t="str"/>
      <x:c r="S22" s="3" t="str"/>
      <x:c r="T22" s="3" t="str"/>
      <x:c r="U22" s="3" t="str"/>
      <x:c r="V22" s="3" t="str">
        <x:v>폭발</x:v>
      </x:c>
      <x:c r="W22" s="3" t="str">
        <x:v>폭발: 3</x:v>
      </x:c>
      <x:c r="X22" s="3" t="str">
        <x:v>화력</x:v>
      </x:c>
      <x:c r="Y22" s="3" t="str">
        <x:v>화력: 4</x:v>
      </x:c>
      <x:c r="Z22" s="3" t="str"/>
      <x:c r="AA22" s="3" t="str">
        <x:v>폭발 +3 · 높은 화력과 반동 · 충격 탄약으로 기폭</x:v>
      </x:c>
      <x:c r="AB22" s="3" t="str">
        <x:v>폭발 +3 · 높은 화력과 반동 · 충격 탄약으로 기폭</x:v>
      </x:c>
      <x:c r="AC22" s="3" t="str">
        <x:v>기존 확정 수치 유지. 반동·거리·부착물·기존 상태에서 기존 전투 규칙을 재사용.</x:v>
      </x:c>
      <x:c r="AD22" s="3" t="str"/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3" t="str"/>
      <x:c r="AU22" s="10" t="n">
        <x:v>0</x:v>
      </x:c>
      <x:c r="AV22" s="10" t="n">
        <x:v>0</x:v>
      </x:c>
      <x:c r="AW22" s="3" t="str">
        <x:v>일반</x:v>
      </x:c>
      <x:c r="AX22" s="8" t="n">
        <x:v>0</x:v>
      </x:c>
      <x:c r="AY22" s="3" t="str"/>
    </x:row>
    <x:row r="23" ht="26.399999618530273" hidden="0" customHeight="1">
      <x:c r="A23" s="3" t="str">
        <x:v>stickyCharge</x:v>
      </x:c>
      <x:c r="B23" s="3" t="str">
        <x:v>접착폭약탄</x:v>
      </x:c>
      <x:c r="C23" s="3" t="str">
        <x:v>Sticky Charge Round</x:v>
      </x:c>
      <x:c r="D23" s="3" t="str">
        <x:v>확정</x:v>
      </x:c>
      <x:c r="E23" s="3" t="str">
        <x:v>폭발</x:v>
      </x:c>
      <x:c r="F23" s="3" t="str">
        <x:v>직접 효과</x:v>
      </x:c>
      <x:c r="G23" s="3" t="str">
        <x:v>적</x:v>
      </x:c>
      <x:c r="H23" s="10" t="n">
        <x:v>1</x:v>
      </x:c>
      <x:c r="I23" s="11" t="n">
        <x:v>0</x:v>
      </x:c>
      <x:c r="J23" s="10" t="n">
        <x:v>2</x:v>
      </x:c>
      <x:c r="K23" s="10" t="n">
        <x:v>4</x:v>
      </x:c>
      <x:c r="L23" s="10" t="n">
        <x:v>0</x:v>
      </x:c>
      <x:c r="M23" s="10" t="n">
        <x:v>0</x:v>
      </x:c>
      <x:c r="N23" s="10" t="n">
        <x:v>0</x:v>
      </x:c>
      <x:c r="O23" s="3" t="str">
        <x:v>사격 시작 시 취약하면 체력 화력 +50%</x:v>
      </x:c>
      <x:c r="P23" s="3" t="str"/>
      <x:c r="Q23" s="3" t="str"/>
      <x:c r="R23" s="3" t="str"/>
      <x:c r="S23" s="3" t="str"/>
      <x:c r="T23" s="3" t="str"/>
      <x:c r="U23" s="3" t="str"/>
      <x:c r="V23" s="3" t="str">
        <x:v>폭발</x:v>
      </x:c>
      <x:c r="W23" s="3" t="str">
        <x:v>폭발: 4</x:v>
      </x:c>
      <x:c r="X23" s="3" t="str">
        <x:v>화력</x:v>
      </x:c>
      <x:c r="Y23" s="3" t="str">
        <x:v>화력: 1</x:v>
      </x:c>
      <x:c r="Z23" s="3" t="str"/>
      <x:c r="AA23" s="3" t="str">
        <x:v>폭발 +4 · 낮은 화력 · 충격 탄약으로 기폭</x:v>
      </x:c>
      <x:c r="AB23" s="3" t="str">
        <x:v>폭발 +4 · 낮은 화력 · 충격 탄약으로 기폭</x:v>
      </x:c>
      <x:c r="AC23" s="3" t="str">
        <x:v>기존 확정 수치 유지. 반동·거리·부착물·기존 상태에서 기존 전투 규칙을 재사용.</x:v>
      </x:c>
      <x:c r="AD23" s="3" t="str"/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3" t="str"/>
      <x:c r="AU23" s="10" t="n">
        <x:v>0</x:v>
      </x:c>
      <x:c r="AV23" s="10" t="n">
        <x:v>0</x:v>
      </x:c>
      <x:c r="AW23" s="3" t="str">
        <x:v>일반</x:v>
      </x:c>
      <x:c r="AX23" s="8" t="n">
        <x:v>0</x:v>
      </x:c>
      <x:c r="AY23" s="3" t="str"/>
    </x:row>
    <x:row r="24" ht="26.399999618530273" hidden="0" customHeight="1">
      <x:c r="A24" s="3" t="str">
        <x:v>flatNose</x:v>
      </x:c>
      <x:c r="B24" s="3" t="str">
        <x:v>평두탄</x:v>
      </x:c>
      <x:c r="C24" s="3" t="str">
        <x:v>Flat Nose</x:v>
      </x:c>
      <x:c r="D24" s="3" t="str">
        <x:v>확정</x:v>
      </x:c>
      <x:c r="E24" s="3" t="str">
        <x:v>충격</x:v>
      </x:c>
      <x:c r="F24" s="3" t="str">
        <x:v>직접 효과</x:v>
      </x:c>
      <x:c r="G24" s="3" t="str">
        <x:v>적</x:v>
      </x:c>
      <x:c r="H24" s="10" t="n">
        <x:v>1</x:v>
      </x:c>
      <x:c r="I24" s="11" t="n">
        <x:v>0</x:v>
      </x:c>
      <x:c r="J24" s="10" t="n">
        <x:v>1</x:v>
      </x:c>
      <x:c r="K24" s="10" t="n">
        <x:v>0</x:v>
      </x:c>
      <x:c r="L24" s="10" t="n">
        <x:v>0</x:v>
      </x:c>
      <x:c r="M24" s="10" t="n">
        <x:v>0</x:v>
      </x:c>
      <x:c r="N24" s="10" t="n">
        <x:v>4</x:v>
      </x:c>
      <x:c r="O24" s="3" t="str">
        <x:v>사격 시작 시 취약하면 체력 화력 +50%</x:v>
      </x:c>
      <x:c r="P24" s="3" t="str"/>
      <x:c r="Q24" s="3" t="str"/>
      <x:c r="R24" s="3" t="str"/>
      <x:c r="S24" s="3" t="str"/>
      <x:c r="T24" s="3" t="str"/>
      <x:c r="U24" s="3" t="str"/>
      <x:c r="V24" s="3" t="str">
        <x:v>충격</x:v>
      </x:c>
      <x:c r="W24" s="3" t="str">
        <x:v>충격: 4</x:v>
      </x:c>
      <x:c r="X24" s="3" t="str">
        <x:v>화력</x:v>
      </x:c>
      <x:c r="Y24" s="3" t="str">
        <x:v>화력: 1</x:v>
      </x:c>
      <x:c r="Z24" s="3" t="str"/>
      <x:c r="AA24" s="3" t="str">
        <x:v>충격 +4</x:v>
      </x:c>
      <x:c r="AB24" s="3" t="str">
        <x:v>충격 +4</x:v>
      </x:c>
      <x:c r="AC24" s="3" t="str">
        <x:v>기존 확정 수치 유지. 반동·거리·부착물·기존 상태에서 기존 전투 규칙을 재사용.</x:v>
      </x:c>
      <x:c r="AD24" s="3" t="str"/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3" t="str"/>
      <x:c r="AU24" s="10" t="n">
        <x:v>0</x:v>
      </x:c>
      <x:c r="AV24" s="10" t="n">
        <x:v>0</x:v>
      </x:c>
      <x:c r="AW24" s="3" t="str">
        <x:v>일반</x:v>
      </x:c>
      <x:c r="AX24" s="8" t="n">
        <x:v>0</x:v>
      </x:c>
      <x:c r="AY24" s="3" t="str"/>
    </x:row>
    <x:row r="25" ht="26.399999618530273" hidden="0" customHeight="1">
      <x:c r="A25" s="3" t="str">
        <x:v>reducedImpact</x:v>
      </x:c>
      <x:c r="B25" s="3" t="str">
        <x:v>저충격탄</x:v>
      </x:c>
      <x:c r="C25" s="3" t="str">
        <x:v>Reduced-Impact Round</x:v>
      </x:c>
      <x:c r="D25" s="3" t="str">
        <x:v>확정</x:v>
      </x:c>
      <x:c r="E25" s="3" t="str">
        <x:v>충격</x:v>
      </x:c>
      <x:c r="F25" s="3" t="str">
        <x:v>직접 효과</x:v>
      </x:c>
      <x:c r="G25" s="3" t="str">
        <x:v>적</x:v>
      </x:c>
      <x:c r="H25" s="10" t="n">
        <x:v>1</x:v>
      </x:c>
      <x:c r="I25" s="11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2</x:v>
      </x:c>
      <x:c r="O25" s="3" t="str">
        <x:v>사격 시작 시 취약하면 체력 화력 +50%</x:v>
      </x:c>
      <x:c r="P25" s="3" t="str"/>
      <x:c r="Q25" s="3" t="str"/>
      <x:c r="R25" s="3" t="str"/>
      <x:c r="S25" s="3" t="str"/>
      <x:c r="T25" s="3" t="str"/>
      <x:c r="U25" s="3" t="str"/>
      <x:c r="V25" s="3" t="str">
        <x:v>충격</x:v>
      </x:c>
      <x:c r="W25" s="3" t="str">
        <x:v>충격: 2</x:v>
      </x:c>
      <x:c r="X25" s="3" t="str">
        <x:v>화력</x:v>
      </x:c>
      <x:c r="Y25" s="3" t="str">
        <x:v>화력: 1</x:v>
      </x:c>
      <x:c r="Z25" s="3" t="str"/>
      <x:c r="AA25" s="3" t="str">
        <x:v>충격 +2 · 반동 없음</x:v>
      </x:c>
      <x:c r="AB25" s="3" t="str">
        <x:v>충격 +2 · 반동 없음</x:v>
      </x:c>
      <x:c r="AC25" s="3" t="str">
        <x:v>기존 확정 수치 유지. 반동·거리·부착물·기존 상태에서 기존 전투 규칙을 재사용.</x:v>
      </x:c>
      <x:c r="AD25" s="3" t="str"/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3" t="str"/>
      <x:c r="AU25" s="10" t="n">
        <x:v>0</x:v>
      </x:c>
      <x:c r="AV25" s="10" t="n">
        <x:v>0</x:v>
      </x:c>
      <x:c r="AW25" s="3" t="str">
        <x:v>일반</x:v>
      </x:c>
      <x:c r="AX25" s="8" t="n">
        <x:v>0</x:v>
      </x:c>
      <x:c r="AY25" s="3" t="str"/>
    </x:row>
    <x:row r="26" ht="26.399999618530273" hidden="0" customHeight="1">
      <x:c r="A26" s="3" t="str">
        <x:v>hammer</x:v>
      </x:c>
      <x:c r="B26" s="3" t="str">
        <x:v>강타탄</x:v>
      </x:c>
      <x:c r="C26" s="3" t="str">
        <x:v>Hammer Round</x:v>
      </x:c>
      <x:c r="D26" s="3" t="str">
        <x:v>확정</x:v>
      </x:c>
      <x:c r="E26" s="3" t="str">
        <x:v>충격</x:v>
      </x:c>
      <x:c r="F26" s="3" t="str">
        <x:v>직접 효과</x:v>
      </x:c>
      <x:c r="G26" s="3" t="str">
        <x:v>적</x:v>
      </x:c>
      <x:c r="H26" s="10" t="n">
        <x:v>1</x:v>
      </x:c>
      <x:c r="I26" s="11" t="n">
        <x:v>0</x:v>
      </x:c>
      <x:c r="J26" s="10" t="n">
        <x:v>3</x:v>
      </x:c>
      <x:c r="K26" s="10" t="n">
        <x:v>0</x:v>
      </x:c>
      <x:c r="L26" s="10" t="n">
        <x:v>0</x:v>
      </x:c>
      <x:c r="M26" s="10" t="n">
        <x:v>0</x:v>
      </x:c>
      <x:c r="N26" s="10" t="n">
        <x:v>6</x:v>
      </x:c>
      <x:c r="O26" s="3" t="str">
        <x:v>사격 시작 시 취약하면 체력 화력 +50%</x:v>
      </x:c>
      <x:c r="P26" s="3" t="str"/>
      <x:c r="Q26" s="3" t="str"/>
      <x:c r="R26" s="3" t="str"/>
      <x:c r="S26" s="3" t="str"/>
      <x:c r="T26" s="3" t="str"/>
      <x:c r="U26" s="3" t="str"/>
      <x:c r="V26" s="3" t="str">
        <x:v>충격</x:v>
      </x:c>
      <x:c r="W26" s="3" t="str">
        <x:v>충격: 6</x:v>
      </x:c>
      <x:c r="X26" s="3" t="str">
        <x:v>화력</x:v>
      </x:c>
      <x:c r="Y26" s="3" t="str">
        <x:v>화력: 1</x:v>
      </x:c>
      <x:c r="Z26" s="3" t="str"/>
      <x:c r="AA26" s="3" t="str">
        <x:v>충격 +6 · 반동 3</x:v>
      </x:c>
      <x:c r="AB26" s="3" t="str">
        <x:v>충격 +6 · 반동 3</x:v>
      </x:c>
      <x:c r="AC26" s="3" t="str">
        <x:v>기존 확정 수치 유지. 반동·거리·부착물·기존 상태에서 기존 전투 규칙을 재사용.</x:v>
      </x:c>
      <x:c r="AD26" s="3" t="str"/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3" t="str"/>
      <x:c r="AU26" s="10" t="n">
        <x:v>0</x:v>
      </x:c>
      <x:c r="AV26" s="10" t="n">
        <x:v>0</x:v>
      </x:c>
      <x:c r="AW26" s="3" t="str">
        <x:v>일반</x:v>
      </x:c>
      <x:c r="AX26" s="8" t="n">
        <x:v>0</x:v>
      </x:c>
      <x:c r="AY26" s="3" t="str"/>
    </x:row>
    <x:row r="27" ht="26.399999618530273" hidden="0" customHeight="1">
      <x:c r="A27" s="3" t="str">
        <x:v>impactRelay</x:v>
      </x:c>
      <x:c r="B27" s="3" t="str">
        <x:v>연쇄충격탄</x:v>
      </x:c>
      <x:c r="C27" s="3" t="str">
        <x:v>Impact Relay Round</x:v>
      </x:c>
      <x:c r="D27" s="3" t="str">
        <x:v>확정</x:v>
      </x:c>
      <x:c r="E27" s="3" t="str">
        <x:v>충격</x:v>
      </x:c>
      <x:c r="F27" s="3" t="str">
        <x:v>탄약 연계</x:v>
      </x:c>
      <x:c r="G27" s="3" t="str">
        <x:v>적 + 탄약</x:v>
      </x:c>
      <x:c r="H27" s="10" t="n">
        <x:v>1</x:v>
      </x:c>
      <x:c r="I27" s="11" t="n">
        <x:v>0</x:v>
      </x:c>
      <x:c r="J27" s="10" t="n">
        <x:v>1</x:v>
      </x:c>
      <x:c r="K27" s="10" t="n">
        <x:v>0</x:v>
      </x:c>
      <x:c r="L27" s="10" t="n">
        <x:v>0</x:v>
      </x:c>
      <x:c r="M27" s="10" t="n">
        <x:v>0</x:v>
      </x:c>
      <x:c r="N27" s="10" t="n">
        <x:v>1</x:v>
      </x:c>
      <x:c r="O27" s="3" t="str">
        <x:v>사격 시작 시 취약하면 체력 화력 +50%</x:v>
      </x:c>
      <x:c r="P27" s="3" t="str"/>
      <x:c r="Q27" s="3" t="str"/>
      <x:c r="R27" s="3" t="str"/>
      <x:c r="S27" s="3" t="str">
        <x:v>· 바로 다음 한 발만</x:v>
      </x:c>
      <x:c r="T27" s="3" t="str"/>
      <x:c r="U27" s="3" t="str"/>
      <x:c r="V27" s="3" t="str">
        <x:v>충격</x:v>
      </x:c>
      <x:c r="W27" s="3" t="str">
        <x:v>충격: 1</x:v>
      </x:c>
      <x:c r="X27" s="3" t="str">
        <x:v>화력
바로 다음 탄 충격 +3</x:v>
      </x:c>
      <x:c r="Y27" s="3" t="str">
        <x:v>화력: 1
다음 탄: 3</x:v>
      </x:c>
      <x:c r="Z27" s="3" t="str">
        <x:v>바로 다음 탄 충격 +3</x:v>
      </x:c>
      <x:c r="AA27" s="3" t="str">
        <x:v>바로 다음 탄 충격 +3 · 충격 없는 탄도 적용 · 바로 다음 탄 충격 +3</x:v>
      </x:c>
      <x:c r="AB27" s="3" t="str">
        <x:v>바로 다음 탄 충격 +3</x:v>
      </x:c>
      <x:c r="AC27" s="3" t="str">
        <x:v>기존 확정 수치 유지. 반동·거리·부착물·기존 상태에서 기존 전투 규칙을 재사용.</x:v>
      </x:c>
      <x:c r="AD27" s="3" t="str">
        <x:v>배열은 최종 확정 탄창. 연계는 직전 발사와 다음 발. 복사 수치는 취약·거리·반동·외부 충격 부착물 보정 전.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3</x:v>
      </x:c>
      <x:c r="AT27" s="3" t="str">
        <x:v>정수 추가</x:v>
      </x:c>
      <x:c r="AU27" s="10" t="n">
        <x:v>0</x:v>
      </x:c>
      <x:c r="AV27" s="10" t="n">
        <x:v>0</x:v>
      </x:c>
      <x:c r="AW27" s="3" t="str">
        <x:v>일반</x:v>
      </x:c>
      <x:c r="AX27" s="8" t="n">
        <x:v>0</x:v>
      </x:c>
      <x:c r="AY27" s="3" t="str">
        <x:v>충격</x:v>
      </x:c>
    </x:row>
    <x:row r="28" ht="26.399999618530273" hidden="0" customHeight="1">
      <x:c r="A28" s="3" t="str">
        <x:v>resonance</x:v>
      </x:c>
      <x:c r="B28" s="3" t="str">
        <x:v>충격증폭탄</x:v>
      </x:c>
      <x:c r="C28" s="3" t="str">
        <x:v>Resonance Round</x:v>
      </x:c>
      <x:c r="D28" s="3" t="str">
        <x:v>확정</x:v>
      </x:c>
      <x:c r="E28" s="3" t="str">
        <x:v>충격</x:v>
      </x:c>
      <x:c r="F28" s="3" t="str">
        <x:v>직접 효과</x:v>
      </x:c>
      <x:c r="G28" s="3" t="str">
        <x:v>적</x:v>
      </x:c>
      <x:c r="H28" s="10" t="n">
        <x:v>1</x:v>
      </x:c>
      <x:c r="I28" s="11" t="n">
        <x:v>0</x:v>
      </x:c>
      <x:c r="J28" s="10" t="n">
        <x:v>1</x:v>
      </x:c>
      <x:c r="K28" s="10" t="n">
        <x:v>0</x:v>
      </x:c>
      <x:c r="L28" s="10" t="n">
        <x:v>0</x:v>
      </x:c>
      <x:c r="M28" s="10" t="n">
        <x:v>0</x:v>
      </x:c>
      <x:c r="N28" s="10" t="n">
        <x:v>2</x:v>
      </x:c>
      <x:c r="O28" s="3" t="str">
        <x:v>사격 시작 시 취약하면 체력 화력 +50%</x:v>
      </x:c>
      <x:c r="P28" s="3" t="str"/>
      <x:c r="Q28" s="3" t="str"/>
      <x:c r="R28" s="3" t="str"/>
      <x:c r="S28" s="3" t="str"/>
      <x:c r="T28" s="3" t="str"/>
      <x:c r="U28" s="3" t="str"/>
      <x:c r="V28" s="3" t="str">
        <x:v>충격</x:v>
      </x:c>
      <x:c r="W28" s="3" t="str">
        <x:v>충격: 2</x:v>
      </x:c>
      <x:c r="X28" s="3" t="str">
        <x:v>화력</x:v>
      </x:c>
      <x:c r="Y28" s="3" t="str">
        <x:v>화력: 1</x:v>
      </x:c>
      <x:c r="Z28" s="3" t="str">
        <x:v>현재 충격 2당 +1, 최대 +4</x:v>
      </x:c>
      <x:c r="AA28" s="3" t="str">
        <x:v>충격 +2 · 현재 충격 2당 추가 +1, 추가 최대 +4</x:v>
      </x:c>
      <x:c r="AB28" s="3" t="str">
        <x:v>현재 충격 2당 +1 · 추가 최대 +4</x:v>
      </x:c>
      <x:c r="AC28" s="3" t="str">
        <x:v>기존 확정 수치 유지. 반동·거리·부착물·기존 상태에서 기존 전투 규칙을 재사용.</x:v>
      </x:c>
      <x:c r="AD28" s="3" t="str"/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2</x:v>
      </x:c>
      <x:c r="AR28" s="10" t="n">
        <x:v>4</x:v>
      </x:c>
      <x:c r="AS28" s="10" t="n">
        <x:v>0</x:v>
      </x:c>
      <x:c r="AT28" s="3" t="str"/>
      <x:c r="AU28" s="10" t="n">
        <x:v>0</x:v>
      </x:c>
      <x:c r="AV28" s="10" t="n">
        <x:v>0</x:v>
      </x:c>
      <x:c r="AW28" s="3" t="str">
        <x:v>일반</x:v>
      </x:c>
      <x:c r="AX28" s="8" t="n">
        <x:v>0</x:v>
      </x:c>
      <x:c r="AY28" s="3" t="str"/>
    </x:row>
    <x:row r="29" ht="26.399999618530273" hidden="0" customHeight="1">
      <x:c r="A29" s="3" t="str">
        <x:v>heavy</x:v>
      </x:c>
      <x:c r="B29" s="3" t="str">
        <x:v>중량탄</x:v>
      </x:c>
      <x:c r="C29" s="3" t="str">
        <x:v>Heavy Round</x:v>
      </x:c>
      <x:c r="D29" s="3" t="str">
        <x:v>확정</x:v>
      </x:c>
      <x:c r="E29" s="3" t="str">
        <x:v>충격</x:v>
      </x:c>
      <x:c r="F29" s="3" t="str">
        <x:v>직접 효과</x:v>
      </x:c>
      <x:c r="G29" s="3" t="str">
        <x:v>적</x:v>
      </x:c>
      <x:c r="H29" s="10" t="n">
        <x:v>3</x:v>
      </x:c>
      <x:c r="I29" s="11" t="n">
        <x:v>0</x:v>
      </x:c>
      <x:c r="J29" s="10" t="n">
        <x:v>2</x:v>
      </x:c>
      <x:c r="K29" s="10" t="n">
        <x:v>0</x:v>
      </x:c>
      <x:c r="L29" s="10" t="n">
        <x:v>0</x:v>
      </x:c>
      <x:c r="M29" s="10" t="n">
        <x:v>0</x:v>
      </x:c>
      <x:c r="N29" s="10" t="n">
        <x:v>2</x:v>
      </x:c>
      <x:c r="O29" s="3" t="str">
        <x:v>사격 시작 시 취약하면 체력 화력 +50%</x:v>
      </x:c>
      <x:c r="P29" s="3" t="str"/>
      <x:c r="Q29" s="3" t="str"/>
      <x:c r="R29" s="3" t="str"/>
      <x:c r="S29" s="3" t="str"/>
      <x:c r="T29" s="3" t="str"/>
      <x:c r="U29" s="3" t="str"/>
      <x:c r="V29" s="3" t="str">
        <x:v>화력 + 충격</x:v>
      </x:c>
      <x:c r="W29" s="3" t="str">
        <x:v>화력: 3
충격: 2</x:v>
      </x:c>
      <x:c r="X29" s="3" t="str"/>
      <x:c r="Y29" s="3" t="str"/>
      <x:c r="Z29" s="3" t="str"/>
      <x:c r="AA29" s="3" t="str">
        <x:v>피해 3 · 충격 +2 · 반동 2</x:v>
      </x:c>
      <x:c r="AB29" s="3" t="str">
        <x:v>피해 3 · 충격 +2 · 반동 2</x:v>
      </x:c>
      <x:c r="AC29" s="3" t="str">
        <x:v>기존 확정 수치 유지. 반동·거리·부착물·기존 상태에서 기존 전투 규칙을 재사용.</x:v>
      </x:c>
      <x:c r="AD29" s="3" t="str">
        <x:v>체력과 충격을 의도적으로 함께 복사한다. 기존 무기 특성의 강화 대상은 충격으로 유지.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3" t="str"/>
      <x:c r="AU29" s="10" t="n">
        <x:v>0</x:v>
      </x:c>
      <x:c r="AV29" s="10" t="n">
        <x:v>0</x:v>
      </x:c>
      <x:c r="AW29" s="3" t="str">
        <x:v>일반</x:v>
      </x:c>
      <x:c r="AX29" s="8" t="n">
        <x:v>0</x:v>
      </x:c>
      <x:c r="AY29" s="3" t="str"/>
    </x:row>
    <x:row r="30" ht="26.399999618530273" hidden="0" customHeight="1">
      <x:c r="A30" s="3" t="str">
        <x:v>incendiary</x:v>
      </x:c>
      <x:c r="B30" s="3" t="str">
        <x:v>소이탄</x:v>
      </x:c>
      <x:c r="C30" s="3" t="str">
        <x:v>Incendiary Round</x:v>
      </x:c>
      <x:c r="D30" s="3" t="str">
        <x:v>확정</x:v>
      </x:c>
      <x:c r="E30" s="3" t="str">
        <x:v>화상 / 점화</x:v>
      </x:c>
      <x:c r="F30" s="3" t="str">
        <x:v>직접 효과</x:v>
      </x:c>
      <x:c r="G30" s="3" t="str">
        <x:v>적</x:v>
      </x:c>
      <x:c r="H30" s="10" t="n">
        <x:v>3</x:v>
      </x:c>
      <x:c r="I30" s="11" t="n">
        <x:v>0</x:v>
      </x:c>
      <x:c r="J30" s="10" t="n">
        <x:v>1</x:v>
      </x:c>
      <x:c r="K30" s="10" t="n">
        <x:v>0</x:v>
      </x:c>
      <x:c r="L30" s="10" t="n">
        <x:v>8</x:v>
      </x:c>
      <x:c r="M30" s="10" t="n">
        <x:v>0</x:v>
      </x:c>
      <x:c r="N30" s="10" t="n">
        <x:v>0</x:v>
      </x:c>
      <x:c r="O30" s="3" t="str">
        <x:v>사격 시작 시 취약하면 체력 화력 +50%</x:v>
      </x:c>
      <x:c r="P30" s="3" t="str"/>
      <x:c r="Q30" s="3" t="str"/>
      <x:c r="R30" s="3" t="str"/>
      <x:c r="S30" s="3" t="str"/>
      <x:c r="T30" s="3" t="str"/>
      <x:c r="U30" s="3" t="str"/>
      <x:c r="V30" s="3" t="str">
        <x:v>화상 축적</x:v>
      </x:c>
      <x:c r="W30" s="3" t="str">
        <x:v>화상 축적: 8</x:v>
      </x:c>
      <x:c r="X30" s="3" t="str">
        <x:v>즉시 화상 피해
화력</x:v>
      </x:c>
      <x:c r="Y30" s="3" t="str">
        <x:v>즉시 화상 피해: 2
화력: 3</x:v>
      </x:c>
      <x:c r="Z30" s="3" t="str"/>
      <x:c r="AA30" s="3" t="str">
        <x:v>일반 화상 피해</x:v>
      </x:c>
      <x:c r="AB30" s="3" t="str">
        <x:v>일반 화상 피해</x:v>
      </x:c>
      <x:c r="AC30" s="3" t="str">
        <x:v>기존 확정 수치 유지. 반동·거리·부착물·기존 상태에서 기존 전투 규칙을 재사용.</x:v>
      </x:c>
      <x:c r="AD30" s="3" t="str">
        <x:v>즉시 화상 피해는 주효과에 포함되지 않으며 복사·주효과 증폭 제외.</x:v>
      </x:c>
      <x:c r="AE30" s="10" t="n">
        <x:v>2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3" t="str"/>
      <x:c r="AU30" s="10" t="n">
        <x:v>0</x:v>
      </x:c>
      <x:c r="AV30" s="10" t="n">
        <x:v>0</x:v>
      </x:c>
      <x:c r="AW30" s="3" t="str">
        <x:v>일반</x:v>
      </x:c>
      <x:c r="AX30" s="8" t="n">
        <x:v>0</x:v>
      </x:c>
      <x:c r="AY30" s="3" t="str"/>
    </x:row>
    <x:row r="31" ht="26.399999618530273" hidden="0" customHeight="1">
      <x:c r="A31" s="3" t="str">
        <x:v>highHeat</x:v>
      </x:c>
      <x:c r="B31" s="3" t="str">
        <x:v>고열탄</x:v>
      </x:c>
      <x:c r="C31" s="3" t="str">
        <x:v>High-Heat Round</x:v>
      </x:c>
      <x:c r="D31" s="3" t="str">
        <x:v>확정</x:v>
      </x:c>
      <x:c r="E31" s="3" t="str">
        <x:v>화상 / 점화</x:v>
      </x:c>
      <x:c r="F31" s="3" t="str">
        <x:v>직접 효과</x:v>
      </x:c>
      <x:c r="G31" s="3" t="str">
        <x:v>적</x:v>
      </x:c>
      <x:c r="H31" s="10" t="n">
        <x:v>2</x:v>
      </x:c>
      <x:c r="I31" s="11" t="n">
        <x:v>0</x:v>
      </x:c>
      <x:c r="J31" s="10" t="n">
        <x:v>3</x:v>
      </x:c>
      <x:c r="K31" s="10" t="n">
        <x:v>0</x:v>
      </x:c>
      <x:c r="L31" s="10" t="n">
        <x:v>12</x:v>
      </x:c>
      <x:c r="M31" s="10" t="n">
        <x:v>0</x:v>
      </x:c>
      <x:c r="N31" s="10" t="n">
        <x:v>0</x:v>
      </x:c>
      <x:c r="O31" s="3" t="str">
        <x:v>사격 시작 시 취약하면 체력 화력 +50%</x:v>
      </x:c>
      <x:c r="P31" s="3" t="str"/>
      <x:c r="Q31" s="3" t="str"/>
      <x:c r="R31" s="3" t="str"/>
      <x:c r="S31" s="3" t="str"/>
      <x:c r="T31" s="3" t="str"/>
      <x:c r="U31" s="3" t="str"/>
      <x:c r="V31" s="3" t="str">
        <x:v>화상 축적</x:v>
      </x:c>
      <x:c r="W31" s="3" t="str">
        <x:v>화상 축적: 12</x:v>
      </x:c>
      <x:c r="X31" s="3" t="str">
        <x:v>즉시 화상 피해
화력</x:v>
      </x:c>
      <x:c r="Y31" s="3" t="str">
        <x:v>즉시 화상 피해: 3
화력: 2</x:v>
      </x:c>
      <x:c r="Z31" s="3" t="str"/>
      <x:c r="AA31" s="3" t="str">
        <x:v>고반동 강한 화상 피해</x:v>
      </x:c>
      <x:c r="AB31" s="3" t="str">
        <x:v>고반동 강한 화상 피해</x:v>
      </x:c>
      <x:c r="AC31" s="3" t="str">
        <x:v>기존 확정 수치 유지. 반동·거리·부착물·기존 상태에서 기존 전투 규칙을 재사용.</x:v>
      </x:c>
      <x:c r="AD31" s="3" t="str">
        <x:v>즉시 화상 피해는 주효과에 포함되지 않으며 복사·주효과 증폭 제외.</x:v>
      </x:c>
      <x:c r="AE31" s="10" t="n">
        <x:v>3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3" t="str"/>
      <x:c r="AU31" s="10" t="n">
        <x:v>0</x:v>
      </x:c>
      <x:c r="AV31" s="10" t="n">
        <x:v>0</x:v>
      </x:c>
      <x:c r="AW31" s="3" t="str">
        <x:v>고급</x:v>
      </x:c>
      <x:c r="AX31" s="8" t="n">
        <x:v>0</x:v>
      </x:c>
      <x:c r="AY31" s="3" t="str"/>
    </x:row>
    <x:row r="32" ht="39.599998474121094" hidden="0" customHeight="1">
      <x:c r="A32" s="3" t="str">
        <x:v>lowHeat</x:v>
      </x:c>
      <x:c r="B32" s="3" t="str">
        <x:v>저열탄</x:v>
      </x:c>
      <x:c r="C32" s="3" t="str">
        <x:v>Low-Heat Round</x:v>
      </x:c>
      <x:c r="D32" s="3" t="str">
        <x:v>확정</x:v>
      </x:c>
      <x:c r="E32" s="3" t="str">
        <x:v>화상 / 점화</x:v>
      </x:c>
      <x:c r="F32" s="3" t="str">
        <x:v>직접 효과</x:v>
      </x:c>
      <x:c r="G32" s="3" t="str">
        <x:v>적</x:v>
      </x:c>
      <x:c r="H32" s="10" t="n">
        <x:v>2</x:v>
      </x:c>
      <x:c r="I32" s="11" t="n">
        <x:v>0</x:v>
      </x:c>
      <x:c r="J32" s="10" t="n">
        <x:v>0</x:v>
      </x:c>
      <x:c r="K32" s="10" t="n">
        <x:v>0</x:v>
      </x:c>
      <x:c r="L32" s="10" t="n">
        <x:v>4</x:v>
      </x:c>
      <x:c r="M32" s="10" t="n">
        <x:v>0</x:v>
      </x:c>
      <x:c r="N32" s="10" t="n">
        <x:v>0</x:v>
      </x:c>
      <x:c r="O32" s="3" t="str">
        <x:v>사격 시작 시 취약하면 체력 화력 +50%</x:v>
      </x:c>
      <x:c r="P32" s="3" t="str">
        <x:v>사격 전 누적 반동 1 회복</x:v>
      </x:c>
      <x:c r="Q32" s="3" t="str"/>
      <x:c r="R32" s="3" t="str"/>
      <x:c r="S32" s="3" t="str"/>
      <x:c r="T32" s="3" t="str"/>
      <x:c r="U32" s="3" t="str"/>
      <x:c r="V32" s="3" t="str">
        <x:v>화상 축적</x:v>
      </x:c>
      <x:c r="W32" s="3" t="str">
        <x:v>화상 축적: 4</x:v>
      </x:c>
      <x:c r="X32" s="3" t="str">
        <x:v>즉시 화상 피해
반동 회복
화력</x:v>
      </x:c>
      <x:c r="Y32" s="3" t="str">
        <x:v>즉시 화상 피해: 1
반동 회복: 1
화력: 2</x:v>
      </x:c>
      <x:c r="Z32" s="3" t="str">
        <x:v>사격 전 누적 반동 1 회복</x:v>
      </x:c>
      <x:c r="AA32" s="3" t="str">
        <x:v>저반동 약한 화상 피해</x:v>
      </x:c>
      <x:c r="AB32" s="3" t="str">
        <x:v>사격 전 누적 반동 1 회복</x:v>
      </x:c>
      <x:c r="AC32" s="3" t="str">
        <x:v>기존 확정 수치 유지. 반동·거리·부착물·기존 상태에서 기존 전투 규칙을 재사용.</x:v>
      </x:c>
      <x:c r="AD32" s="3" t="str">
        <x:v>즉시 화상 피해는 주효과에 포함되지 않으며 복사·주효과 증폭 제외.</x:v>
      </x:c>
      <x:c r="AE32" s="10" t="n">
        <x:v>1</x:v>
      </x:c>
      <x:c r="AF32" s="10" t="n">
        <x:v>1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3" t="str"/>
      <x:c r="AU32" s="10" t="n">
        <x:v>0</x:v>
      </x:c>
      <x:c r="AV32" s="10" t="n">
        <x:v>0</x:v>
      </x:c>
      <x:c r="AW32" s="3" t="str">
        <x:v>일반</x:v>
      </x:c>
      <x:c r="AX32" s="8" t="n">
        <x:v>0</x:v>
      </x:c>
      <x:c r="AY32" s="3" t="str"/>
    </x:row>
    <x:row r="33" ht="52.79999923706055" hidden="0" customHeight="1">
      <x:c r="A33" s="3" t="str">
        <x:v>accelerant</x:v>
      </x:c>
      <x:c r="B33" s="3" t="str">
        <x:v>연소촉진탄</x:v>
      </x:c>
      <x:c r="C33" s="3" t="str">
        <x:v>Accelerant Round</x:v>
      </x:c>
      <x:c r="D33" s="3" t="str">
        <x:v>확정</x:v>
      </x:c>
      <x:c r="E33" s="3" t="str">
        <x:v>화상 / 점화</x:v>
      </x:c>
      <x:c r="F33" s="3" t="str">
        <x:v>탄약 연계</x:v>
      </x:c>
      <x:c r="G33" s="3" t="str">
        <x:v>적 + 탄약</x:v>
      </x:c>
      <x:c r="H33" s="10" t="n">
        <x:v>1</x:v>
      </x:c>
      <x:c r="I33" s="11" t="n">
        <x:v>0</x:v>
      </x:c>
      <x:c r="J33" s="10" t="n">
        <x:v>1</x:v>
      </x:c>
      <x:c r="K33" s="10" t="n">
        <x:v>0</x:v>
      </x:c>
      <x:c r="L33" s="10" t="n">
        <x:v>2</x:v>
      </x:c>
      <x:c r="M33" s="10" t="n">
        <x:v>0</x:v>
      </x:c>
      <x:c r="N33" s="10" t="n">
        <x:v>0</x:v>
      </x:c>
      <x:c r="O33" s="3" t="str">
        <x:v>사격 시작 시 취약하면 체력 화력 +50%</x:v>
      </x:c>
      <x:c r="P33" s="3" t="str"/>
      <x:c r="Q33" s="3" t="str"/>
      <x:c r="R33" s="3" t="str"/>
      <x:c r="S33" s="3" t="str">
        <x:v>· 바로 다음 한 발만</x:v>
      </x:c>
      <x:c r="T33" s="3" t="str"/>
      <x:c r="U33" s="3" t="str"/>
      <x:c r="V33" s="3" t="str">
        <x:v>화상 축적</x:v>
      </x:c>
      <x:c r="W33" s="3" t="str">
        <x:v>화상 축적: 2</x:v>
      </x:c>
      <x:c r="X33" s="3" t="str">
        <x:v>즉시 화상 피해
화력
바로 다음 탄 화상 축적 +50% · 소수점 버림</x:v>
      </x:c>
      <x:c r="Y33" s="3" t="str">
        <x:v>즉시 화상 피해: 1
화력: 1
다음 탄: 50%</x:v>
      </x:c>
      <x:c r="Z33" s="3" t="str">
        <x:v>바로 다음 탄 화상 축적 +50% · 소수점 버림</x:v>
      </x:c>
      <x:c r="AA33" s="3" t="str">
        <x:v>바로 다음 탄 화상 축적 +50% · 소수점 버림 · 바로 다음 탄 화상 축적 +50% · 소수점 버림</x:v>
      </x:c>
      <x:c r="AB33" s="3" t="str">
        <x:v>바로 다음 탄 화상 축적 +50% · 소수점 버림</x:v>
      </x:c>
      <x:c r="AC33" s="3" t="str">
        <x:v>기존 확정 수치 유지. 반동·거리·부착물·기존 상태에서 기존 전투 규칙을 재사용.</x:v>
      </x:c>
      <x:c r="AD33" s="3" t="str">
        <x:v>배열은 최종 확정 탄창. 연계는 직전 발사와 다음 발. 복사 수치는 취약·거리·반동·외부 충격 부착물 보정 전. · 즉시 화상 피해는 주효과에 포함되지 않으며 복사·주효과 증폭 제외.</x:v>
      </x:c>
      <x:c r="AE33" s="10" t="n">
        <x:v>1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50</x:v>
      </x:c>
      <x:c r="AT33" s="3" t="str">
        <x:v>비율 증가 (%)</x:v>
      </x:c>
      <x:c r="AU33" s="10" t="n">
        <x:v>0</x:v>
      </x:c>
      <x:c r="AV33" s="10" t="n">
        <x:v>0</x:v>
      </x:c>
      <x:c r="AW33" s="3" t="str">
        <x:v>고급</x:v>
      </x:c>
      <x:c r="AX33" s="8" t="n">
        <x:v>0</x:v>
      </x:c>
      <x:c r="AY33" s="3" t="str">
        <x:v>화상 축적</x:v>
      </x:c>
    </x:row>
    <x:row r="34" ht="39.599998474121094" hidden="0" customHeight="1">
      <x:c r="A34" s="3" t="str">
        <x:v>ignition</x:v>
      </x:c>
      <x:c r="B34" s="3" t="str">
        <x:v>점화탄</x:v>
      </x:c>
      <x:c r="C34" s="3" t="str">
        <x:v>Ignition Round</x:v>
      </x:c>
      <x:c r="D34" s="3" t="str">
        <x:v>확정</x:v>
      </x:c>
      <x:c r="E34" s="3" t="str">
        <x:v>화상 / 점화</x:v>
      </x:c>
      <x:c r="F34" s="3" t="str">
        <x:v>직접 효과</x:v>
      </x:c>
      <x:c r="G34" s="3" t="str">
        <x:v>적</x:v>
      </x:c>
      <x:c r="H34" s="10" t="n">
        <x:v>1</x:v>
      </x:c>
      <x:c r="I34" s="11" t="n">
        <x:v>0</x:v>
      </x:c>
      <x:c r="J34" s="10" t="n">
        <x:v>1</x:v>
      </x:c>
      <x:c r="K34" s="10" t="n">
        <x:v>0</x:v>
      </x:c>
      <x:c r="L34" s="10" t="n">
        <x:v>2</x:v>
      </x:c>
      <x:c r="M34" s="10" t="n">
        <x:v>0</x:v>
      </x:c>
      <x:c r="N34" s="10" t="n">
        <x:v>0</x:v>
      </x:c>
      <x:c r="O34" s="3" t="str">
        <x:v>사격 시작 시 취약하면 체력 화력 +50%</x:v>
      </x:c>
      <x:c r="P34" s="3" t="str">
        <x:v>화상 2 + 현재 화상 ×0.5 · 소수점 버림</x:v>
      </x:c>
      <x:c r="Q34" s="3" t="str"/>
      <x:c r="R34" s="3" t="str"/>
      <x:c r="S34" s="3" t="str"/>
      <x:c r="T34" s="3" t="str"/>
      <x:c r="U34" s="3" t="str"/>
      <x:c r="V34" s="3" t="str">
        <x:v>화상 축적</x:v>
      </x:c>
      <x:c r="W34" s="3" t="str">
        <x:v>화상 축적: 2</x:v>
      </x:c>
      <x:c r="X34" s="3" t="str">
        <x:v>즉시 화상 피해
현재 화상 비례 (%)
화력</x:v>
      </x:c>
      <x:c r="Y34" s="3" t="str">
        <x:v>즉시 화상 피해: 1
현재 화상 비례 (%): 50
화력: 1</x:v>
      </x:c>
      <x:c r="Z34" s="3" t="str">
        <x:v>화상 2 + 현재 화상 ×0.5 · 소수점 버림</x:v>
      </x:c>
      <x:c r="AA34" s="3" t="str">
        <x:v>낮은 피해, 누적 화상이 높을수록 강한 화상 피해</x:v>
      </x:c>
      <x:c r="AB34" s="3" t="str">
        <x:v>화상 2 + 현재 화상 ×0.5 · 소수점 버림</x:v>
      </x:c>
      <x:c r="AC34" s="3" t="str">
        <x:v>기존 확정 수치 유지. 반동·거리·부착물·기존 상태에서 기존 전투 규칙을 재사용.</x:v>
      </x:c>
      <x:c r="AD34" s="3" t="str">
        <x:v>즉시 화상 피해는 주효과에 포함되지 않으며 복사·주효과 증폭 제외.</x:v>
      </x:c>
      <x:c r="AE34" s="10" t="n">
        <x:v>1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50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3" t="str"/>
      <x:c r="AU34" s="10" t="n">
        <x:v>0</x:v>
      </x:c>
      <x:c r="AV34" s="10" t="n">
        <x:v>0</x:v>
      </x:c>
      <x:c r="AW34" s="3" t="str">
        <x:v>고급</x:v>
      </x:c>
      <x:c r="AX34" s="8" t="n">
        <x:v>0</x:v>
      </x:c>
      <x:c r="AY34" s="3" t="str"/>
    </x:row>
    <x:row r="35" ht="39.599998474121094" hidden="0" customHeight="1">
      <x:c r="A35" s="3" t="str">
        <x:v>kindling</x:v>
      </x:c>
      <x:c r="B35" s="3" t="str">
        <x:v>발화탄</x:v>
      </x:c>
      <x:c r="C35" s="3" t="str">
        <x:v>Kindling Round</x:v>
      </x:c>
      <x:c r="D35" s="3" t="str">
        <x:v>확정</x:v>
      </x:c>
      <x:c r="E35" s="3" t="str">
        <x:v>화상 / 점화</x:v>
      </x:c>
      <x:c r="F35" s="3" t="str">
        <x:v>직접 효과</x:v>
      </x:c>
      <x:c r="G35" s="3" t="str">
        <x:v>적</x:v>
      </x:c>
      <x:c r="H35" s="10" t="n">
        <x:v>3</x:v>
      </x:c>
      <x:c r="I35" s="11" t="n">
        <x:v>0</x:v>
      </x:c>
      <x:c r="J35" s="10" t="n">
        <x:v>1</x:v>
      </x:c>
      <x:c r="K35" s="10" t="n">
        <x:v>0</x:v>
      </x:c>
      <x:c r="L35" s="10" t="n">
        <x:v>2</x:v>
      </x:c>
      <x:c r="M35" s="10" t="n">
        <x:v>0</x:v>
      </x:c>
      <x:c r="N35" s="10" t="n">
        <x:v>0</x:v>
      </x:c>
      <x:c r="O35" s="3" t="str">
        <x:v>사격 시작 시 취약하면 체력 화력 +50%</x:v>
      </x:c>
      <x:c r="P35" s="3" t="str">
        <x:v>점화 대상 직접 화력 +3</x:v>
      </x:c>
      <x:c r="Q35" s="3" t="str"/>
      <x:c r="R35" s="3" t="str"/>
      <x:c r="S35" s="3" t="str"/>
      <x:c r="T35" s="3" t="str"/>
      <x:c r="U35" s="3" t="str"/>
      <x:c r="V35" s="3" t="str">
        <x:v>화력</x:v>
      </x:c>
      <x:c r="W35" s="3" t="str">
        <x:v>화력: 3</x:v>
      </x:c>
      <x:c r="X35" s="3" t="str">
        <x:v>즉시 화상 피해
점화 화력
화상 축적</x:v>
      </x:c>
      <x:c r="Y35" s="3" t="str">
        <x:v>즉시 화상 피해: 1
점화 화력: 3
화상 축적: 2</x:v>
      </x:c>
      <x:c r="Z35" s="3" t="str">
        <x:v>사격 시작 시 점화 · 점화 대상 직접 화력 +3</x:v>
      </x:c>
      <x:c r="AA35" s="3" t="str">
        <x:v>점화 상태 추가 피해</x:v>
      </x:c>
      <x:c r="AB35" s="3" t="str">
        <x:v>점화 대상 직접 화력 +3</x:v>
      </x:c>
      <x:c r="AC35" s="3" t="str">
        <x:v>기존 확정 수치 유지. 반동·거리·부착물·기존 상태에서 기존 전투 규칙을 재사용.</x:v>
      </x:c>
      <x:c r="AD35" s="3" t="str">
        <x:v>즉시 화상 피해는 주효과에 포함되지 않으며 복사·주효과 증폭 제외.</x:v>
      </x:c>
      <x:c r="AE35" s="10" t="n">
        <x:v>1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3</x:v>
      </x:c>
      <x:c r="AQ35" s="10" t="n">
        <x:v>0</x:v>
      </x:c>
      <x:c r="AR35" s="10" t="n">
        <x:v>0</x:v>
      </x:c>
      <x:c r="AS35" s="10" t="n">
        <x:v>0</x:v>
      </x:c>
      <x:c r="AT35" s="3" t="str"/>
      <x:c r="AU35" s="10" t="n">
        <x:v>0</x:v>
      </x:c>
      <x:c r="AV35" s="10" t="n">
        <x:v>0</x:v>
      </x:c>
      <x:c r="AW35" s="3" t="str">
        <x:v>고급</x:v>
      </x:c>
      <x:c r="AX35" s="8" t="n">
        <x:v>0</x:v>
      </x:c>
      <x:c r="AY35" s="3" t="str"/>
    </x:row>
    <x:row r="36" ht="39.599998474121094" hidden="0" customHeight="1">
      <x:c r="A36" s="3" t="str">
        <x:v>mimic</x:v>
      </x:c>
      <x:c r="B36" s="3" t="str">
        <x:v>복사탄</x:v>
      </x:c>
      <x:c r="C36" s="3" t="str">
        <x:v>Mimic Round</x:v>
      </x:c>
      <x:c r="D36" s="3" t="str">
        <x:v>확정</x:v>
      </x:c>
      <x:c r="E36" s="3" t="str">
        <x:v>체력 피해</x:v>
      </x:c>
      <x:c r="F36" s="3" t="str">
        <x:v>탄약 연계</x:v>
      </x:c>
      <x:c r="G36" s="3" t="str">
        <x:v>적 + 탄약</x:v>
      </x:c>
      <x:c r="H36" s="10" t="n">
        <x:v>0</x:v>
      </x:c>
      <x:c r="I36" s="11" t="n">
        <x:v>0</x:v>
      </x:c>
      <x:c r="J36" s="10" t="n">
        <x:v>1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3" t="str">
        <x:v>사격 시작 시 취약하면 체력 화력 +50%</x:v>
      </x:c>
      <x:c r="P36" s="3" t="str"/>
      <x:c r="Q36" s="3" t="str"/>
      <x:c r="R36" s="3" t="str">
        <x:v>직전 탄이 있으면</x:v>
      </x:c>
      <x:c r="S36" s="3" t="str"/>
      <x:c r="T36" s="3" t="str"/>
      <x:c r="U36" s="3" t="str"/>
      <x:c r="V36" s="3" t="str">
        <x:v>직전 탄의 계산된 주효과</x:v>
      </x:c>
      <x:c r="W36" s="3" t="str">
        <x:v>화력: 0</x:v>
      </x:c>
      <x:c r="X36" s="3" t="str">
        <x:v>직전 탄 주효과 100% 복사 · 첫 발은 효과 없음</x:v>
      </x:c>
      <x:c r="Y36" s="3" t="str">
        <x:v>현재 탄: 100%</x:v>
      </x:c>
      <x:c r="Z36" s="3" t="str">
        <x:v>직전 탄 주효과 100% 복사 · 첫 발은 효과 없음</x:v>
      </x:c>
      <x:c r="AA36" s="3" t="str">
        <x:v>직전 탄의 계산된 주효과를 100% 복사 · 첫 발은 효과 없음 · 직전 탄 주효과 100% 복사 · 첫 발은 효과 없음</x:v>
      </x:c>
      <x:c r="AB36" s="3" t="str">
        <x:v>직전 탄 주효과 100% 복사 · 첫 발은 효과 없음 · 이동·부가효과 제외</x:v>
      </x:c>
      <x:c r="AC36" s="3" t="str">
        <x:v>자체 화력 없음. 직전 탄의 주효과만 같은 값으로 전달. 연속 복사로 값 자체가 증가하지 않음.</x:v>
      </x:c>
      <x:c r="AD36" s="3" t="str">
        <x:v>배열은 최종 확정 탄창. 연계는 직전 발사와 다음 발. 복사 수치는 취약·거리·반동·외부 충격 부착물 보정 전. · 원래 탄의 이동·반동·전달·배열·상태 발동 부가효과를 실행하지 않는다. 복사탄의 계열은 체력으로 유지.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100</x:v>
      </x:c>
      <x:c r="AT36" s="3" t="str">
        <x:v>직전 주효과 비율 (%)</x:v>
      </x:c>
      <x:c r="AU36" s="10" t="n">
        <x:v>0</x:v>
      </x:c>
      <x:c r="AV36" s="10" t="n">
        <x:v>0</x:v>
      </x:c>
      <x:c r="AW36" s="3" t="str">
        <x:v>고급</x:v>
      </x:c>
      <x:c r="AX36" s="8" t="n">
        <x:v>0</x:v>
      </x:c>
      <x:c r="AY36" s="3" t="str">
        <x:v>직전 탄의 계산된 주효과</x:v>
      </x:c>
    </x:row>
    <x:row r="37" ht="26.399999618530273" hidden="0" customHeight="1">
      <x:c r="A37" s="3" t="str">
        <x:v>alternator</x:v>
      </x:c>
      <x:c r="B37" s="3" t="str">
        <x:v>교차탄</x:v>
      </x:c>
      <x:c r="C37" s="3" t="str">
        <x:v>Alternator Round</x:v>
      </x:c>
      <x:c r="D37" s="3" t="str">
        <x:v>확정</x:v>
      </x:c>
      <x:c r="E37" s="3" t="str">
        <x:v>체력 피해</x:v>
      </x:c>
      <x:c r="F37" s="3" t="str">
        <x:v>탄약 연계</x:v>
      </x:c>
      <x:c r="G37" s="3" t="str">
        <x:v>적 + 탄약</x:v>
      </x:c>
      <x:c r="H37" s="10" t="n">
        <x:v>2</x:v>
      </x:c>
      <x:c r="I37" s="11" t="n">
        <x:v>0</x:v>
      </x:c>
      <x:c r="J37" s="10" t="n">
        <x:v>1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3" t="str">
        <x:v>사격 시작 시 취약하면 체력 화력 +50%</x:v>
      </x:c>
      <x:c r="P37" s="3" t="str"/>
      <x:c r="Q37" s="3" t="str"/>
      <x:c r="R37" s="3" t="str">
        <x:v>직전 탄과 다른 계열이면</x:v>
      </x:c>
      <x:c r="S37" s="3" t="str"/>
      <x:c r="T37" s="3" t="str"/>
      <x:c r="U37" s="3" t="str"/>
      <x:c r="V37" s="3" t="str">
        <x:v>화력</x:v>
      </x:c>
      <x:c r="W37" s="3" t="str">
        <x:v>화력: 2</x:v>
      </x:c>
      <x:c r="X37" s="3" t="str">
        <x:v>직전 탄과 다른 계열이면 화력 +4</x:v>
      </x:c>
      <x:c r="Y37" s="3" t="str">
        <x:v>현재 탄: 4</x:v>
      </x:c>
      <x:c r="Z37" s="3" t="str">
        <x:v>직전 탄과 다른 계열이면 화력 +4</x:v>
      </x:c>
      <x:c r="AA37" s="3" t="str">
        <x:v>직전 탄과 다른 계열이면 화력 +4 · 직전 탄과 다른 계열이면 화력 +4</x:v>
      </x:c>
      <x:c r="AB37" s="3" t="str">
        <x:v>직전 탄과 다른 계열이면 화력 +4</x:v>
      </x:c>
      <x:c r="AC37" s="3" t="str">
        <x:v>체력 계열 고정. 직전 상처·충격 등과 교차해야 화력 6.</x:v>
      </x:c>
      <x:c r="AD37" s="3" t="str">
        <x:v>배열은 최종 확정 탄창. 연계는 직전 발사와 다음 발. 복사 수치는 취약·거리·반동·외부 충격 부착물 보정 전.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4</x:v>
      </x:c>
      <x:c r="AT37" s="3" t="str">
        <x:v>정수 추가</x:v>
      </x:c>
      <x:c r="AU37" s="10" t="n">
        <x:v>0</x:v>
      </x:c>
      <x:c r="AV37" s="10" t="n">
        <x:v>0</x:v>
      </x:c>
      <x:c r="AW37" s="3" t="str">
        <x:v>일반</x:v>
      </x:c>
      <x:c r="AX37" s="8" t="n">
        <x:v>0</x:v>
      </x:c>
      <x:c r="AY37" s="3" t="str">
        <x:v>화력</x:v>
      </x:c>
    </x:row>
    <x:row r="38" ht="26.399999618530273" hidden="0" customHeight="1">
      <x:c r="A38" s="3" t="str">
        <x:v>bridge</x:v>
      </x:c>
      <x:c r="B38" s="3" t="str">
        <x:v>매개탄</x:v>
      </x:c>
      <x:c r="C38" s="3" t="str">
        <x:v>Bridge Round</x:v>
      </x:c>
      <x:c r="D38" s="3" t="str">
        <x:v>확정</x:v>
      </x:c>
      <x:c r="E38" s="3" t="str">
        <x:v>체력 피해</x:v>
      </x:c>
      <x:c r="F38" s="3" t="str">
        <x:v>탄약 연계</x:v>
      </x:c>
      <x:c r="G38" s="3" t="str">
        <x:v>적 + 탄약</x:v>
      </x:c>
      <x:c r="H38" s="10" t="n">
        <x:v>1</x:v>
      </x:c>
      <x:c r="I38" s="11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3" t="str">
        <x:v>사격 시작 시 취약하면 체력 화력 +50%</x:v>
      </x:c>
      <x:c r="P38" s="3" t="str"/>
      <x:c r="Q38" s="3" t="str"/>
      <x:c r="R38" s="3" t="str">
        <x:v>직전·다음 탄의 계열이 다르면</x:v>
      </x:c>
      <x:c r="S38" s="3" t="str">
        <x:v>직전·다음 탄의 계열이 다르면 · 바로 다음 한 발만</x:v>
      </x:c>
      <x:c r="T38" s="3" t="str"/>
      <x:c r="U38" s="3" t="str"/>
      <x:c r="V38" s="3" t="str">
        <x:v>화력</x:v>
      </x:c>
      <x:c r="W38" s="3" t="str">
        <x:v>화력: 1</x:v>
      </x:c>
      <x:c r="X38" s="3" t="str">
        <x:v>직전·다음 탄의 계열이 다르면 바로 다음 탄 주효과 +50% · 소수점 버림</x:v>
      </x:c>
      <x:c r="Y38" s="3" t="str">
        <x:v>다음 탄: 50%</x:v>
      </x:c>
      <x:c r="Z38" s="3" t="str">
        <x:v>직전·다음 탄의 계열이 다르면 바로 다음 탄 주효과 +50% · 소수점 버림</x:v>
      </x:c>
      <x:c r="AA38" s="3" t="str">
        <x:v>직전·다음 탄의 계열이 다르면 다음 탄 주효과 +50% · 소수점 버림 · 직전·다음 탄의 계열이 다르면 바로 다음 탄 주효과 +50% · 소수점 버림</x:v>
      </x:c>
      <x:c r="AB38" s="3" t="str">
        <x:v>직전·다음 탄의 계열이 다르면 바로 다음 탄 주효과 +50% · 소수점 버림</x:v>
      </x:c>
      <x:c r="AC38" s="3" t="str">
        <x:v>즉시 화력과 슬롯을 지불해 다음 주효과 절반 추가. 양 이웃 없는 첫·끝 칸에서 비활성.</x:v>
      </x:c>
      <x:c r="AD38" s="3" t="str">
        <x:v>배열은 최종 확정 탄창. 연계는 직전 발사와 다음 발. 복사 수치는 취약·거리·반동·외부 충격 부착물 보정 전.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50</x:v>
      </x:c>
      <x:c r="AT38" s="3" t="str">
        <x:v>비율 증가 (%)</x:v>
      </x:c>
      <x:c r="AU38" s="10" t="n">
        <x:v>0</x:v>
      </x:c>
      <x:c r="AV38" s="10" t="n">
        <x:v>0</x:v>
      </x:c>
      <x:c r="AW38" s="3" t="str">
        <x:v>일반</x:v>
      </x:c>
      <x:c r="AX38" s="8" t="n">
        <x:v>0</x:v>
      </x:c>
      <x:c r="AY38" s="3" t="str">
        <x:v>다음 탄의 명시적 주효과</x:v>
      </x:c>
    </x:row>
    <x:row r="39" ht="39.599998474121094" hidden="0" customHeight="1">
      <x:c r="A39" s="3" t="str">
        <x:v>afterimage</x:v>
      </x:c>
      <x:c r="B39" s="3" t="str">
        <x:v>잔향탄</x:v>
      </x:c>
      <x:c r="C39" s="3" t="str">
        <x:v>Afterimage Round</x:v>
      </x:c>
      <x:c r="D39" s="3" t="str">
        <x:v>확정</x:v>
      </x:c>
      <x:c r="E39" s="3" t="str">
        <x:v>체력 피해</x:v>
      </x:c>
      <x:c r="F39" s="3" t="str">
        <x:v>탄약 연계</x:v>
      </x:c>
      <x:c r="G39" s="3" t="str">
        <x:v>적 + 탄약</x:v>
      </x:c>
      <x:c r="H39" s="10" t="n">
        <x:v>1</x:v>
      </x:c>
      <x:c r="I39" s="11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3" t="str">
        <x:v>사격 시작 시 취약하면 체력 화력 +50%</x:v>
      </x:c>
      <x:c r="P39" s="3" t="str"/>
      <x:c r="Q39" s="3" t="str"/>
      <x:c r="R39" s="3" t="str">
        <x:v>직전 탄이 있으면</x:v>
      </x:c>
      <x:c r="S39" s="3" t="str"/>
      <x:c r="T39" s="3" t="str"/>
      <x:c r="U39" s="3" t="str"/>
      <x:c r="V39" s="3" t="str">
        <x:v>화력</x:v>
      </x:c>
      <x:c r="W39" s="3" t="str">
        <x:v>화력: 1</x:v>
      </x:c>
      <x:c r="X39" s="3" t="str">
        <x:v>직전 탄 주효과 50% 재발동 · 소수점 버림 · 첫 발은 기본 화력만</x:v>
      </x:c>
      <x:c r="Y39" s="3" t="str">
        <x:v>현재 탄: 50%</x:v>
      </x:c>
      <x:c r="Z39" s="3" t="str">
        <x:v>직전 탄 주효과 50% 재발동 · 소수점 버림 · 첫 발은 기본 화력만</x:v>
      </x:c>
      <x:c r="AA39" s="3" t="str">
        <x:v>화력 1 + 직전 탄 주효과 50% 재발동 · 소수점 버림 · 직전 탄 주효과 50% 재발동 · 소수점 버림 · 첫 발은 기본 화력만</x:v>
      </x:c>
      <x:c r="AB39" s="3" t="str">
        <x:v>직전 탄 주효과 50% 재발동 · 소수점 버림 · 첫 발은 기본 화력만 · 이동·부가효과 제외</x:v>
      </x:c>
      <x:c r="AC39" s="3" t="str">
        <x:v>기본 화력 1과 절반 재발동. 연속 잔향은 값이 수렴하고 규칙 재실행 없음.</x:v>
      </x:c>
      <x:c r="AD39" s="3" t="str">
        <x:v>배열은 최종 확정 탄창. 연계는 직전 발사와 다음 발. 복사 수치는 취약·거리·반동·외부 충격 부착물 보정 전. · 원래 탄의 이동·반동·전달·배열·상태 발동 부가효과를 실행하지 않는다. 복사탄의 계열은 체력으로 유지.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50</x:v>
      </x:c>
      <x:c r="AT39" s="3" t="str">
        <x:v>직전 주효과 비율 (%)</x:v>
      </x:c>
      <x:c r="AU39" s="10" t="n">
        <x:v>0</x:v>
      </x:c>
      <x:c r="AV39" s="10" t="n">
        <x:v>0</x:v>
      </x:c>
      <x:c r="AW39" s="3" t="str">
        <x:v>일반</x:v>
      </x:c>
      <x:c r="AX39" s="8" t="n">
        <x:v>0</x:v>
      </x:c>
      <x:c r="AY39" s="3" t="str">
        <x:v>직전 탄의 계산된 주효과</x:v>
      </x:c>
    </x:row>
    <x:row r="40" ht="26.399999618530273" hidden="0" customHeight="1">
      <x:c r="A40" s="3" t="str">
        <x:v>opening</x:v>
      </x:c>
      <x:c r="B40" s="3" t="str">
        <x:v>초탄</x:v>
      </x:c>
      <x:c r="C40" s="3" t="str">
        <x:v>Opening Round</x:v>
      </x:c>
      <x:c r="D40" s="3" t="str">
        <x:v>확정</x:v>
      </x:c>
      <x:c r="E40" s="3" t="str">
        <x:v>체력 피해</x:v>
      </x:c>
      <x:c r="F40" s="3" t="str">
        <x:v>탄창 배열</x:v>
      </x:c>
      <x:c r="G40" s="3" t="str">
        <x:v>적 + 탄창</x:v>
      </x:c>
      <x:c r="H40" s="10" t="n">
        <x:v>3</x:v>
      </x:c>
      <x:c r="I40" s="11" t="n">
        <x:v>0</x:v>
      </x:c>
      <x:c r="J40" s="10" t="n">
        <x:v>1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3" t="str">
        <x:v>사격 시작 시 취약하면 체력 화력 +50%</x:v>
      </x:c>
      <x:c r="P40" s="3" t="str"/>
      <x:c r="Q40" s="3" t="str"/>
      <x:c r="R40" s="3" t="str"/>
      <x:c r="S40" s="3" t="str"/>
      <x:c r="T40" s="3" t="str">
        <x:v>첫 장전 칸이면</x:v>
      </x:c>
      <x:c r="U40" s="3" t="str"/>
      <x:c r="V40" s="3" t="str">
        <x:v>화력</x:v>
      </x:c>
      <x:c r="W40" s="3" t="str">
        <x:v>화력: 3</x:v>
      </x:c>
      <x:c r="X40" s="3" t="str">
        <x:v>첫 장전 칸이면 화력 +3</x:v>
      </x:c>
      <x:c r="Y40" s="3" t="str">
        <x:v>현재 탄: 3</x:v>
      </x:c>
      <x:c r="Z40" s="3" t="str">
        <x:v>첫 장전 칸이면 화력 +3</x:v>
      </x:c>
      <x:c r="AA40" s="3" t="str">
        <x:v>첫 장전 칸이면 화력 +3 · 첫 장전 칸이면 화력 +3</x:v>
      </x:c>
      <x:c r="AB40" s="3" t="str">
        <x:v>첫 장전 칸이면 화력 +3</x:v>
      </x:c>
      <x:c r="AC40" s="3" t="str">
        <x:v>선제 피해를 확보하는 대신 다른 칸에서는 표준탄보다 약함.</x:v>
      </x:c>
      <x:c r="AD40" s="3" t="str">
        <x:v>배열은 최종 확정 탄창. 연계는 직전 발사와 다음 발. 복사 수치는 취약·거리·반동·외부 충격 부착물 보정 전.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3</x:v>
      </x:c>
      <x:c r="AT40" s="3" t="str">
        <x:v>정수 추가</x:v>
      </x:c>
      <x:c r="AU40" s="10" t="n">
        <x:v>0</x:v>
      </x:c>
      <x:c r="AV40" s="10" t="n">
        <x:v>0</x:v>
      </x:c>
      <x:c r="AW40" s="3" t="str">
        <x:v>일반</x:v>
      </x:c>
      <x:c r="AX40" s="8" t="n">
        <x:v>0</x:v>
      </x:c>
      <x:c r="AY40" s="3" t="str">
        <x:v>화력</x:v>
      </x:c>
    </x:row>
    <x:row r="41" ht="26.399999618530273" hidden="0" customHeight="1">
      <x:c r="A41" s="3" t="str">
        <x:v>finisher</x:v>
      </x:c>
      <x:c r="B41" s="3" t="str">
        <x:v>종결탄</x:v>
      </x:c>
      <x:c r="C41" s="3" t="str">
        <x:v>Finisher Round</x:v>
      </x:c>
      <x:c r="D41" s="3" t="str">
        <x:v>확정</x:v>
      </x:c>
      <x:c r="E41" s="3" t="str">
        <x:v>체력 피해</x:v>
      </x:c>
      <x:c r="F41" s="3" t="str">
        <x:v>탄창 배열</x:v>
      </x:c>
      <x:c r="G41" s="3" t="str">
        <x:v>적 + 탄창</x:v>
      </x:c>
      <x:c r="H41" s="10" t="n">
        <x:v>3</x:v>
      </x:c>
      <x:c r="I41" s="11" t="n">
        <x:v>0</x:v>
      </x:c>
      <x:c r="J41" s="10" t="n">
        <x:v>1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3" t="str">
        <x:v>사격 시작 시 취약하면 체력 화력 +50%</x:v>
      </x:c>
      <x:c r="P41" s="3" t="str"/>
      <x:c r="Q41" s="3" t="str"/>
      <x:c r="R41" s="3" t="str"/>
      <x:c r="S41" s="3" t="str"/>
      <x:c r="T41" s="3" t="str">
        <x:v>마지막 장전 칸이면</x:v>
      </x:c>
      <x:c r="U41" s="3" t="str"/>
      <x:c r="V41" s="3" t="str">
        <x:v>화력</x:v>
      </x:c>
      <x:c r="W41" s="3" t="str">
        <x:v>화력: 3</x:v>
      </x:c>
      <x:c r="X41" s="3" t="str">
        <x:v>마지막 장전 칸이면 화력 +4</x:v>
      </x:c>
      <x:c r="Y41" s="3" t="str">
        <x:v>현재 탄: 4</x:v>
      </x:c>
      <x:c r="Z41" s="3" t="str">
        <x:v>마지막 장전 칸이면 화력 +4</x:v>
      </x:c>
      <x:c r="AA41" s="3" t="str">
        <x:v>마지막 장전 칸이면 화력 +4 · 마지막 장전 칸이면 화력 +4</x:v>
      </x:c>
      <x:c r="AB41" s="3" t="str">
        <x:v>마지막 장전 칸이면 화력 +4</x:v>
      </x:c>
      <x:c r="AC41" s="3" t="str">
        <x:v>첫 발보다 늦은 처치와 누적 반동 위험을 지불. 조기 처치로 미발사되면 소모 안 함.</x:v>
      </x:c>
      <x:c r="AD41" s="3" t="str">
        <x:v>배열은 최종 확정 탄창. 연계는 직전 발사와 다음 발. 복사 수치는 취약·거리·반동·외부 충격 부착물 보정 전.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4</x:v>
      </x:c>
      <x:c r="AT41" s="3" t="str">
        <x:v>정수 추가</x:v>
      </x:c>
      <x:c r="AU41" s="10" t="n">
        <x:v>0</x:v>
      </x:c>
      <x:c r="AV41" s="10" t="n">
        <x:v>0</x:v>
      </x:c>
      <x:c r="AW41" s="3" t="str">
        <x:v>일반</x:v>
      </x:c>
      <x:c r="AX41" s="8" t="n">
        <x:v>0</x:v>
      </x:c>
      <x:c r="AY41" s="3" t="str">
        <x:v>화력</x:v>
      </x:c>
    </x:row>
    <x:row r="42" ht="26.399999618530273" hidden="0" customHeight="1">
      <x:c r="A42" s="3" t="str">
        <x:v>core</x:v>
      </x:c>
      <x:c r="B42" s="3" t="str">
        <x:v>중심탄</x:v>
      </x:c>
      <x:c r="C42" s="3" t="str">
        <x:v>Core Round</x:v>
      </x:c>
      <x:c r="D42" s="3" t="str">
        <x:v>확정</x:v>
      </x:c>
      <x:c r="E42" s="3" t="str">
        <x:v>체력 피해</x:v>
      </x:c>
      <x:c r="F42" s="3" t="str">
        <x:v>탄창 배열</x:v>
      </x:c>
      <x:c r="G42" s="3" t="str">
        <x:v>적 + 탄창</x:v>
      </x:c>
      <x:c r="H42" s="10" t="n">
        <x:v>4</x:v>
      </x:c>
      <x:c r="I42" s="11" t="n">
        <x:v>0</x:v>
      </x:c>
      <x:c r="J42" s="10" t="n">
        <x:v>1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3" t="str">
        <x:v>사격 시작 시 취약하면 체력 화력 +50%</x:v>
      </x:c>
      <x:c r="P42" s="3" t="str"/>
      <x:c r="Q42" s="3" t="str"/>
      <x:c r="R42" s="3" t="str"/>
      <x:c r="S42" s="3" t="str"/>
      <x:c r="T42" s="3" t="str">
        <x:v>첫·마지막 장전 칸이 아니면</x:v>
      </x:c>
      <x:c r="U42" s="3" t="str"/>
      <x:c r="V42" s="3" t="str">
        <x:v>화력</x:v>
      </x:c>
      <x:c r="W42" s="3" t="str">
        <x:v>화력: 4</x:v>
      </x:c>
      <x:c r="X42" s="3" t="str">
        <x:v>첫·마지막 장전 칸이 아니면 화력 +2</x:v>
      </x:c>
      <x:c r="Y42" s="3" t="str">
        <x:v>현재 탄: 2</x:v>
      </x:c>
      <x:c r="Z42" s="3" t="str">
        <x:v>첫·마지막 장전 칸이 아니면 화력 +2</x:v>
      </x:c>
      <x:c r="AA42" s="3" t="str">
        <x:v>첫·마지막 장전 칸이 아니면 화력 +2 · 첫·마지막 장전 칸이 아니면 화력 +2</x:v>
      </x:c>
      <x:c r="AB42" s="3" t="str">
        <x:v>첫·마지막 장전 칸이 아니면 화력 +2</x:v>
      </x:c>
      <x:c r="AC42" s="3" t="str">
        <x:v>중앙 보상은 첫·마지막보다 작음. 한두 발 부분 장전에서는 비활성.</x:v>
      </x:c>
      <x:c r="AD42" s="3" t="str">
        <x:v>배열은 최종 확정 탄창. 연계는 직전 발사와 다음 발. 복사 수치는 취약·거리·반동·외부 충격 부착물 보정 전.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2</x:v>
      </x:c>
      <x:c r="AT42" s="3" t="str">
        <x:v>정수 추가</x:v>
      </x:c>
      <x:c r="AU42" s="10" t="n">
        <x:v>0</x:v>
      </x:c>
      <x:c r="AV42" s="10" t="n">
        <x:v>0</x:v>
      </x:c>
      <x:c r="AW42" s="3" t="str">
        <x:v>일반</x:v>
      </x:c>
      <x:c r="AX42" s="8" t="n">
        <x:v>0</x:v>
      </x:c>
      <x:c r="AY42" s="3" t="str">
        <x:v>화력</x:v>
      </x:c>
    </x:row>
    <x:row r="43" ht="26.399999618530273" hidden="0" customHeight="1">
      <x:c r="A43" s="3" t="str">
        <x:v>crosslink</x:v>
      </x:c>
      <x:c r="B43" s="3" t="str">
        <x:v>교차배열탄</x:v>
      </x:c>
      <x:c r="C43" s="3" t="str">
        <x:v>Crosslink Round</x:v>
      </x:c>
      <x:c r="D43" s="3" t="str">
        <x:v>확정</x:v>
      </x:c>
      <x:c r="E43" s="3" t="str">
        <x:v>체력 피해</x:v>
      </x:c>
      <x:c r="F43" s="3" t="str">
        <x:v>탄창 배열</x:v>
      </x:c>
      <x:c r="G43" s="3" t="str">
        <x:v>적 + 탄창</x:v>
      </x:c>
      <x:c r="H43" s="10" t="n">
        <x:v>3</x:v>
      </x:c>
      <x:c r="I43" s="11" t="n">
        <x:v>0</x:v>
      </x:c>
      <x:c r="J43" s="10" t="n">
        <x:v>1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3" t="str">
        <x:v>사격 시작 시 취약하면 체력 화력 +50%</x:v>
      </x:c>
      <x:c r="P43" s="3" t="str"/>
      <x:c r="Q43" s="3" t="str"/>
      <x:c r="R43" s="3" t="str"/>
      <x:c r="S43" s="3" t="str"/>
      <x:c r="T43" s="3" t="str">
        <x:v>양옆 장전 탄의 계열이 다르면</x:v>
      </x:c>
      <x:c r="U43" s="3" t="str"/>
      <x:c r="V43" s="3" t="str">
        <x:v>화력</x:v>
      </x:c>
      <x:c r="W43" s="3" t="str">
        <x:v>화력: 3</x:v>
      </x:c>
      <x:c r="X43" s="3" t="str">
        <x:v>양옆 장전 탄의 계열이 다르면 화력 +4</x:v>
      </x:c>
      <x:c r="Y43" s="3" t="str">
        <x:v>현재 탄: 4</x:v>
      </x:c>
      <x:c r="Z43" s="3" t="str">
        <x:v>양옆 장전 탄의 계열이 다르면 화력 +4</x:v>
      </x:c>
      <x:c r="AA43" s="3" t="str">
        <x:v>양옆 장전 탄의 계열이 다르면 화력 +4 · 양옆 장전 탄의 계열이 다르면 화력 +4</x:v>
      </x:c>
      <x:c r="AB43" s="3" t="str">
        <x:v>양옆 장전 탄의 계열이 다르면 화력 +4</x:v>
      </x:c>
      <x:c r="AC43" s="3" t="str">
        <x:v>양 이웃이 필요하고 서로 다른 계열이어야 하므로 중앙탄보다 큰 보상.</x:v>
      </x:c>
      <x:c r="AD43" s="3" t="str">
        <x:v>배열은 최종 확정 탄창. 연계는 직전 발사와 다음 발. 복사 수치는 취약·거리·반동·외부 충격 부착물 보정 전.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4</x:v>
      </x:c>
      <x:c r="AT43" s="3" t="str">
        <x:v>정수 추가</x:v>
      </x:c>
      <x:c r="AU43" s="10" t="n">
        <x:v>0</x:v>
      </x:c>
      <x:c r="AV43" s="10" t="n">
        <x:v>0</x:v>
      </x:c>
      <x:c r="AW43" s="3" t="str">
        <x:v>일반</x:v>
      </x:c>
      <x:c r="AX43" s="8" t="n">
        <x:v>0</x:v>
      </x:c>
      <x:c r="AY43" s="3" t="str">
        <x:v>화력</x:v>
      </x:c>
    </x:row>
    <x:row r="44" ht="26.399999618530273" hidden="0" customHeight="1">
      <x:c r="A44" s="3" t="str">
        <x:v>mosaic</x:v>
      </x:c>
      <x:c r="B44" s="3" t="str">
        <x:v>혼합탄</x:v>
      </x:c>
      <x:c r="C44" s="3" t="str">
        <x:v>Mosaic Round</x:v>
      </x:c>
      <x:c r="D44" s="3" t="str">
        <x:v>확정</x:v>
      </x:c>
      <x:c r="E44" s="3" t="str">
        <x:v>체력 피해</x:v>
      </x:c>
      <x:c r="F44" s="3" t="str">
        <x:v>탄창 배열</x:v>
      </x:c>
      <x:c r="G44" s="3" t="str">
        <x:v>적 + 탄창</x:v>
      </x:c>
      <x:c r="H44" s="10" t="n">
        <x:v>3</x:v>
      </x:c>
      <x:c r="I44" s="11" t="n">
        <x:v>0</x:v>
      </x:c>
      <x:c r="J44" s="10" t="n">
        <x:v>1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3" t="str">
        <x:v>사격 시작 시 취약하면 체력 화력 +50%</x:v>
      </x:c>
      <x:c r="P44" s="3" t="str"/>
      <x:c r="Q44" s="3" t="str"/>
      <x:c r="R44" s="3" t="str"/>
      <x:c r="S44" s="3" t="str"/>
      <x:c r="T44" s="3" t="str"/>
      <x:c r="U44" s="3" t="str">
        <x:v>장전 계열 수 −1마다</x:v>
      </x:c>
      <x:c r="V44" s="3" t="str">
        <x:v>화력</x:v>
      </x:c>
      <x:c r="W44" s="3" t="str">
        <x:v>화력: 3</x:v>
      </x:c>
      <x:c r="X44" s="3" t="str">
        <x:v>장전 계열 수 −1마다 화력 +1</x:v>
      </x:c>
      <x:c r="Y44" s="3" t="str">
        <x:v>현재 탄: 1</x:v>
      </x:c>
      <x:c r="Z44" s="3" t="str">
        <x:v>장전 계열 수 −1마다 화력 +1</x:v>
      </x:c>
      <x:c r="AA44" s="3" t="str">
        <x:v>장전 계열 수 −1만큼 화력 증가 · 최대 +4 · 장전 계열 수 −1마다 화력 +1</x:v>
      </x:c>
      <x:c r="AB44" s="3" t="str">
        <x:v>장전 계열 수 −1마다 화력 +1</x:v>
      </x:c>
      <x:c r="AC44" s="3" t="str">
        <x:v>자신의 체력 계열 포함. 다섯 계열을 갖춰야 최대 보상이며 집중탄과 반대 전략.</x:v>
      </x:c>
      <x:c r="AD44" s="3" t="str">
        <x:v>배열은 최종 확정 탄창. 연계는 직전 발사와 다음 발. 복사 수치는 취약·거리·반동·외부 충격 부착물 보정 전.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1</x:v>
      </x:c>
      <x:c r="AT44" s="3" t="str">
        <x:v>정수 추가</x:v>
      </x:c>
      <x:c r="AU44" s="10" t="n">
        <x:v>0</x:v>
      </x:c>
      <x:c r="AV44" s="10" t="n">
        <x:v>0</x:v>
      </x:c>
      <x:c r="AW44" s="3" t="str">
        <x:v>일반</x:v>
      </x:c>
      <x:c r="AX44" s="8" t="n">
        <x:v>0</x:v>
      </x:c>
      <x:c r="AY44" s="3" t="str">
        <x:v>화력</x:v>
      </x:c>
    </x:row>
    <x:row r="45" ht="26.399999618530273" hidden="0" customHeight="1">
      <x:c r="A45" s="3" t="str">
        <x:v>focus</x:v>
      </x:c>
      <x:c r="B45" s="3" t="str">
        <x:v>집중탄</x:v>
      </x:c>
      <x:c r="C45" s="3" t="str">
        <x:v>Focus Round</x:v>
      </x:c>
      <x:c r="D45" s="3" t="str">
        <x:v>확정</x:v>
      </x:c>
      <x:c r="E45" s="3" t="str">
        <x:v>체력 피해</x:v>
      </x:c>
      <x:c r="F45" s="3" t="str">
        <x:v>탄창 배열</x:v>
      </x:c>
      <x:c r="G45" s="3" t="str">
        <x:v>적 + 탄창</x:v>
      </x:c>
      <x:c r="H45" s="10" t="n">
        <x:v>2</x:v>
      </x:c>
      <x:c r="I45" s="11" t="n">
        <x:v>0</x:v>
      </x:c>
      <x:c r="J45" s="10" t="n">
        <x:v>1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3" t="str">
        <x:v>사격 시작 시 취약하면 체력 화력 +50%</x:v>
      </x:c>
      <x:c r="P45" s="3" t="str"/>
      <x:c r="Q45" s="3" t="str"/>
      <x:c r="R45" s="3" t="str"/>
      <x:c r="S45" s="3" t="str"/>
      <x:c r="T45" s="3" t="str"/>
      <x:c r="U45" s="3" t="str">
        <x:v>모든 장전 탄이 같은 계열이면</x:v>
      </x:c>
      <x:c r="V45" s="3" t="str">
        <x:v>화력</x:v>
      </x:c>
      <x:c r="W45" s="3" t="str">
        <x:v>화력: 2</x:v>
      </x:c>
      <x:c r="X45" s="3" t="str">
        <x:v>모든 장전 탄이 같은 계열이면 화력 +4</x:v>
      </x:c>
      <x:c r="Y45" s="3" t="str">
        <x:v>현재 탄: 4</x:v>
      </x:c>
      <x:c r="Z45" s="3" t="str">
        <x:v>모든 장전 탄이 같은 계열이면 화력 +4</x:v>
      </x:c>
      <x:c r="AA45" s="3" t="str">
        <x:v>모든 장전 탄이 같은 계열이면 화력 +4 · 모든 장전 탄이 같은 계열이면 화력 +4</x:v>
      </x:c>
      <x:c r="AB45" s="3" t="str">
        <x:v>모든 장전 탄이 같은 계열이면 화력 +4</x:v>
      </x:c>
      <x:c r="AC45" s="3" t="str">
        <x:v>단일 계열 연사 초기 피해가 고압 연사를 넘어 기본 화력 3에서 2로 낮춤. 혼합하면 기본 화력만 적용.</x:v>
      </x:c>
      <x:c r="AD45" s="3" t="str">
        <x:v>배열은 최종 확정 탄창. 연계는 직전 발사와 다음 발. 복사 수치는 취약·거리·반동·외부 충격 부착물 보정 전.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4</x:v>
      </x:c>
      <x:c r="AT45" s="3" t="str">
        <x:v>정수 추가</x:v>
      </x:c>
      <x:c r="AU45" s="10" t="n">
        <x:v>0</x:v>
      </x:c>
      <x:c r="AV45" s="10" t="n">
        <x:v>0</x:v>
      </x:c>
      <x:c r="AW45" s="3" t="str">
        <x:v>일반</x:v>
      </x:c>
      <x:c r="AX45" s="8" t="n">
        <x:v>0</x:v>
      </x:c>
      <x:c r="AY45" s="3" t="str">
        <x:v>화력</x:v>
      </x:c>
    </x:row>
    <x:row r="46" ht="26.399999618530273" hidden="0" customHeight="1">
      <x:c r="A46" s="3" t="str">
        <x:v>lightLoad</x:v>
      </x:c>
      <x:c r="B46" s="3" t="str">
        <x:v>경량장전탄</x:v>
      </x:c>
      <x:c r="C46" s="3" t="str">
        <x:v>Light-Load Round</x:v>
      </x:c>
      <x:c r="D46" s="3" t="str">
        <x:v>확정</x:v>
      </x:c>
      <x:c r="E46" s="3" t="str">
        <x:v>체력 피해</x:v>
      </x:c>
      <x:c r="F46" s="3" t="str">
        <x:v>탄창 배열</x:v>
      </x:c>
      <x:c r="G46" s="3" t="str">
        <x:v>적 + 탄창</x:v>
      </x:c>
      <x:c r="H46" s="10" t="n">
        <x:v>4</x:v>
      </x:c>
      <x:c r="I46" s="11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3" t="str">
        <x:v>사격 시작 시 취약하면 체력 화력 +50%</x:v>
      </x:c>
      <x:c r="P46" s="3" t="str"/>
      <x:c r="Q46" s="3" t="str"/>
      <x:c r="R46" s="3" t="str"/>
      <x:c r="S46" s="3" t="str"/>
      <x:c r="T46" s="3" t="str"/>
      <x:c r="U46" s="3" t="str">
        <x:v>빈 칸마다</x:v>
      </x:c>
      <x:c r="V46" s="3" t="str">
        <x:v>화력</x:v>
      </x:c>
      <x:c r="W46" s="3" t="str">
        <x:v>화력: 4</x:v>
      </x:c>
      <x:c r="X46" s="3" t="str">
        <x:v>빈 칸마다 화력 +2</x:v>
      </x:c>
      <x:c r="Y46" s="3" t="str">
        <x:v>현재 탄: 2</x:v>
      </x:c>
      <x:c r="Z46" s="3" t="str">
        <x:v>빈 칸마다 화력 +2</x:v>
      </x:c>
      <x:c r="AA46" s="3" t="str">
        <x:v>빈 칸마다 화력 +2 · 장탄수를 줄일수록 강화 · 빈 칸마다 화력 +2</x:v>
      </x:c>
      <x:c r="AB46" s="3" t="str">
        <x:v>빈 칸마다 화력 +2</x:v>
      </x:c>
      <x:c r="AC46" s="3" t="str">
        <x:v>6칸에 4발은 근거리 32 피해. 두 빈 칸과 특수탄 4발 비용을 지불하며 상태 효과를 준비하지 못함.</x:v>
      </x:c>
      <x:c r="AD46" s="3" t="str">
        <x:v>배열은 최종 확정 탄창. 연계는 직전 발사와 다음 발. 복사 수치는 취약·거리·반동·외부 충격 부착물 보정 전.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2</x:v>
      </x:c>
      <x:c r="AT46" s="3" t="str">
        <x:v>정수 추가</x:v>
      </x:c>
      <x:c r="AU46" s="10" t="n">
        <x:v>0</x:v>
      </x:c>
      <x:c r="AV46" s="10" t="n">
        <x:v>0</x:v>
      </x:c>
      <x:c r="AW46" s="3" t="str">
        <x:v>일반</x:v>
      </x:c>
      <x:c r="AX46" s="8" t="n">
        <x:v>0</x:v>
      </x:c>
      <x:c r="AY46" s="3" t="str">
        <x:v>화력</x:v>
      </x:c>
    </x:row>
    <x:row r="47" ht="26.399999618530273" hidden="0" customHeight="1">
      <x:c r="A47" s="3" t="str">
        <x:v>mirror</x:v>
      </x:c>
      <x:c r="B47" s="3" t="str">
        <x:v>대칭탄</x:v>
      </x:c>
      <x:c r="C47" s="3" t="str">
        <x:v>Mirror Round</x:v>
      </x:c>
      <x:c r="D47" s="3" t="str">
        <x:v>확정</x:v>
      </x:c>
      <x:c r="E47" s="3" t="str">
        <x:v>체력 피해</x:v>
      </x:c>
      <x:c r="F47" s="3" t="str">
        <x:v>탄창 배열</x:v>
      </x:c>
      <x:c r="G47" s="3" t="str">
        <x:v>적 + 탄창</x:v>
      </x:c>
      <x:c r="H47" s="10" t="n">
        <x:v>3</x:v>
      </x:c>
      <x:c r="I47" s="11" t="n">
        <x:v>0</x:v>
      </x:c>
      <x:c r="J47" s="10" t="n">
        <x:v>1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3" t="str">
        <x:v>사격 시작 시 취약하면 체력 화력 +50%</x:v>
      </x:c>
      <x:c r="P47" s="3" t="str"/>
      <x:c r="Q47" s="3" t="str"/>
      <x:c r="R47" s="3" t="str"/>
      <x:c r="S47" s="3" t="str"/>
      <x:c r="T47" s="3" t="str">
        <x:v>반대편 장전 탄이 같은 계열이면 (자기 자신 제외)</x:v>
      </x:c>
      <x:c r="U47" s="3" t="str"/>
      <x:c r="V47" s="3" t="str">
        <x:v>화력</x:v>
      </x:c>
      <x:c r="W47" s="3" t="str">
        <x:v>화력: 3</x:v>
      </x:c>
      <x:c r="X47" s="3" t="str">
        <x:v>반대편 장전 탄이 같은 계열이면 (자기 자신 제외) 화력 +3</x:v>
      </x:c>
      <x:c r="Y47" s="3" t="str">
        <x:v>현재 탄: 3</x:v>
      </x:c>
      <x:c r="Z47" s="3" t="str">
        <x:v>반대편 장전 탄이 같은 계열이면 (자기 자신 제외) 화력 +3</x:v>
      </x:c>
      <x:c r="AA47" s="3" t="str">
        <x:v>장전 순서 반대편 탄이 같은 계열이면 화력 +3 · 자기 자신 제외 · 반대편 장전 탄이 같은 계열이면 (자기 자신 제외) 화력 +3</x:v>
      </x:c>
      <x:c r="AB47" s="3" t="str">
        <x:v>반대편 장전 탄이 같은 계열이면 (자기 자신 제외) 화력 +3</x:v>
      </x:c>
      <x:c r="AC47" s="3" t="str">
        <x:v>장전 길이 기준 대칭. 중앙 자기 자신은 조건을 충족하지 않음.</x:v>
      </x:c>
      <x:c r="AD47" s="3" t="str">
        <x:v>배열은 최종 확정 탄창. 연계는 직전 발사와 다음 발. 복사 수치는 취약·거리·반동·외부 충격 부착물 보정 전.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3</x:v>
      </x:c>
      <x:c r="AT47" s="3" t="str">
        <x:v>정수 추가</x:v>
      </x:c>
      <x:c r="AU47" s="10" t="n">
        <x:v>0</x:v>
      </x:c>
      <x:c r="AV47" s="10" t="n">
        <x:v>0</x:v>
      </x:c>
      <x:c r="AW47" s="3" t="str">
        <x:v>일반</x:v>
      </x:c>
      <x:c r="AX47" s="8" t="n">
        <x:v>0</x:v>
      </x:c>
      <x:c r="AY47" s="3" t="str">
        <x:v>화력</x:v>
      </x:c>
    </x:row>
    <x:row r="48" ht="26.399999618530273" hidden="0" customHeight="1">
      <x:c r="A48" s="3" t="str">
        <x:v>knockback</x:v>
      </x:c>
      <x:c r="B48" s="3" t="str">
        <x:v>넉백탄(?)</x:v>
      </x:c>
      <x:c r="C48" s="3" t="str">
        <x:v>Knockback Round</x:v>
      </x:c>
      <x:c r="D48" s="3" t="str">
        <x:v>초안 / 미정</x:v>
      </x:c>
      <x:c r="E48" s="3" t="str">
        <x:v>미정</x:v>
      </x:c>
      <x:c r="F48" s="3" t="str">
        <x:v>직접 효과</x:v>
      </x:c>
      <x:c r="G48" s="3" t="str">
        <x:v>적</x:v>
      </x:c>
      <x:c r="H48" s="10"/>
      <x:c r="I48" s="11"/>
      <x:c r="J48" s="10"/>
      <x:c r="K48" s="10"/>
      <x:c r="L48" s="10"/>
      <x:c r="M48" s="10"/>
      <x:c r="N48" s="10"/>
      <x:c r="O48" s="3"/>
      <x:c r="P48" s="3"/>
      <x:c r="Q48" s="3" t="str">
        <x:v>사격 후 표적 후퇴 · 이동량·피해·반동 미정</x:v>
      </x:c>
      <x:c r="R48" s="3"/>
      <x:c r="S48" s="3"/>
      <x:c r="T48" s="3"/>
      <x:c r="U48" s="3"/>
      <x:c r="V48" s="3"/>
      <x:c r="W48" s="3"/>
      <x:c r="X48" s="3"/>
      <x:c r="Y48" s="3"/>
      <x:c r="Z48" s="3"/>
      <x:c r="AA48" s="3" t="str">
        <x:v>사격 후 표적 후퇴 · 이동량·피해·반동 미정</x:v>
      </x:c>
      <x:c r="AB48" s="3"/>
      <x:c r="AC48" s="3" t="str">
        <x:v>설계 문서의 (?) 표기. 수치 미확정.</x:v>
      </x:c>
      <x:c r="AD48" s="3" t="str">
        <x:v>활성 정의·보급·보상·장전 풀 제외. 영어 이름은 작업용 번역.</x:v>
      </x:c>
      <x:c r="AE48" s="10"/>
      <x:c r="AF48" s="10"/>
      <x:c r="AG48" s="10"/>
      <x:c r="AH48" s="10"/>
      <x:c r="AI48" s="10"/>
      <x:c r="AJ48" s="10"/>
      <x:c r="AK48" s="10"/>
      <x:c r="AL48" s="10"/>
      <x:c r="AM48" s="10"/>
      <x:c r="AN48" s="10"/>
      <x:c r="AO48" s="10"/>
      <x:c r="AP48" s="10"/>
      <x:c r="AQ48" s="10"/>
      <x:c r="AR48" s="10"/>
      <x:c r="AS48" s="10"/>
      <x:c r="AT48" s="3"/>
      <x:c r="AU48" s="10"/>
      <x:c r="AV48" s="10"/>
      <x:c r="AW48" s="3"/>
      <x:c r="AX48" s="8"/>
      <x:c r="AY48" s="3"/>
    </x:row>
  </x:sheetData>
  <x:conditionalFormatting sqref="D2:D48">
    <x:cfRule type="containsText" dxfId="0" priority="1" operator="containsText" text="초안"/>
  </x:conditionalFormatting>
  <x:pageMargins left="0.7" right="0.7" top="0.75" bottom="0.75" header="0.3" footer="0.3"/>
  <x:tableParts count="1">
    <x:tablePart xmlns:r="http://schemas.openxmlformats.org/officeDocument/2006/relationships" r:id="Ra2e9593237a54a0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1" ht="15" hidden="0" customHeight="1">
      <x:c r="A1" s="7" t="str">
        <x:v>용어</x:v>
      </x:c>
      <x:c r="B1" s="7" t="str">
        <x:v>정의</x:v>
      </x:c>
    </x:row>
    <x:row r="2" ht="15" hidden="0" customHeight="1">
      <x:c r="A2" s="3" t="str">
        <x:v>적 효과 계열</x:v>
      </x:c>
      <x:c r="B2" s="3" t="str">
        <x:v>체력 피해 / 폭발 / 화상·점화 / 상처 / 충격의 다섯 계열. 탄약·탄창은 계열이 아닌 기계적 계층.</x:v>
      </x:c>
    </x:row>
    <x:row r="3" ht="15" hidden="0" customHeight="1">
      <x:c r="A3" s="3" t="str">
        <x:v>적 계층</x:v>
      </x:c>
      <x:c r="B3" s="3" t="str">
        <x:v>체력 피해 및 적에게 축적하는 효과. 기존 적 상태와 전투 해결 규칙 사용.</x:v>
      </x:c>
    </x:row>
    <x:row r="4" ht="15" hidden="0" customHeight="1">
      <x:c r="A4" s="3" t="str">
        <x:v>탄약 계층</x:v>
      </x:c>
      <x:c r="B4" s="3" t="str">
        <x:v>직전 실제 발사 탄과 다음 발의 관계. 전달 효과는 바로 다음 한 발에서 소비.</x:v>
      </x:c>
    </x:row>
    <x:row r="5" ht="15" hidden="0" customHeight="1">
      <x:c r="A5" s="3" t="str">
        <x:v>탄창 계층</x:v>
      </x:c>
      <x:c r="B5" s="3" t="str">
        <x:v>발사 확정 시 최종 장전 순서·용량·계열을 고정. 앞 탄 제거 후에도 조건 유지.</x:v>
      </x:c>
    </x:row>
    <x:row r="6" ht="15" hidden="0" customHeight="1">
      <x:c r="A6" s="3" t="str">
        <x:v>주효과</x:v>
      </x:c>
      <x:c r="B6" s="3" t="str">
        <x:v>명시된 화력·폭발·화상·상처·충격 축적 값. 중량탄은 화력+충격 복합. 발화탄의 주효과는 화력.</x:v>
      </x:c>
    </x:row>
    <x:row r="7" ht="26.399999618530273" hidden="0" customHeight="1">
      <x:c r="A7" s="3" t="str">
        <x:v>복사·잔향</x:v>
      </x:c>
      <x:c r="B7" s="3" t="str">
        <x:v>무기 및 탄약 조건·연계·배열을 반영한 주효과 값을 복제. 현재 탄의 반동·거리·취약으로 해결. 이동·규칙·즉시 화상·취약 발동 부가효과는 복제하지 않음.</x:v>
      </x:c>
    </x:row>
    <x:row r="8" ht="26.399999618530273" hidden="0" customHeight="1">
      <x:c r="A8" s="3" t="str">
        <x:v>상처·취약</x:v>
      </x:c>
      <x:c r="B8" s="3" t="str">
        <x:v>상처 6마다 소비하고 초과분 유지. 취약 기본 2턴. 현재 사격 시작 시 활성 취약은 후속 체력 화력 +50%. 상처 자체는 화력 배율이 아님.</x:v>
      </x:c>
    </x:row>
    <x:row r="9" ht="15" hidden="0" customHeight="1">
      <x:c r="A9" s="3" t="str">
        <x:v>충격</x:v>
      </x:c>
      <x:c r="B9" s="3" t="str">
        <x:v>다음 행동 임계치에 도달하면 그 행동을 중단하고 임계치만 소비. 사격 중 축적 한도 없음.</x:v>
      </x:c>
    </x:row>
    <x:row r="10" ht="15" hidden="0" customHeight="1">
      <x:c r="A10" s="3" t="str">
        <x:v>폭발</x:v>
      </x:c>
      <x:c r="B10" s="3" t="str">
        <x:v>충격 1 이상인 이번 명중으로 전량 기폭. 누적량 ×2 피해. 거리·반동·취약 무관.</x:v>
      </x:c>
    </x:row>
    <x:row r="11" ht="26.399999618530273" hidden="0" customHeight="1">
      <x:c r="A11" s="3" t="str">
        <x:v>화상·점화</x:v>
      </x:c>
      <x:c r="B11" s="3" t="str">
        <x:v>화상 기본 임계치 20. 적마다 다름. 한 발에서 임계치 한 번 소비. 자동 지속 피해 없음. 점화는 다음 특수 행동을 접근으로 변경. 행동 중단 시 유지.</x:v>
      </x:c>
    </x:row>
    <x:row r="12" ht="15" hidden="0" customHeight="1">
      <x:c r="A12" s="3" t="str">
        <x:v>대칭 위치</x:v>
      </x:c>
      <x:c r="B12" s="3" t="str">
        <x:v>장전 수 −1 − 현재 0기준 칸. 사용하지 않은 빈 칸 제외. 홀수 중앙의 자기 자신은 비활성.</x:v>
      </x:c>
    </x:row>
    <x:row r="13" ht="15" hidden="0" customHeight="1">
      <x:c r="A13" s="3" t="str">
        <x:v>혼합·단일 계열</x:v>
      </x:c>
      <x:c r="B13" s="3" t="str">
        <x:v>탄약에 선언된 주계열로 판정. 복사탄이 상처를 복사해도 체력 계열. 중량탄은 충격 계열. 자기 탄의 계열 포함. 한 발도 단일 계열.</x:v>
      </x:c>
    </x:row>
    <x:row r="14" ht="26.399999618530273" hidden="0" customHeight="1">
      <x:c r="A14" s="3" t="str">
        <x:v>숫자 규약</x:v>
      </x:c>
      <x:c r="B14" s="3" t="str">
        <x:v>확정 탄의 해당 없음은 숫자 0. 초안의 미정 숫자는 빈칸. 현재 체력 비례율은 Excel 백분율. 나머지 (%) 열은 50처럼 퍼센트 단위의 정수.</x:v>
      </x:c>
    </x:row>
    <x:row r="15" ht="15" hidden="0" customHeight="1">
      <x:c r="A15" s="3" t="str">
        <x:v>명세 기준</x:v>
      </x:c>
      <x:c r="B15" s="3" t="str">
        <x:v>기본 탄약 수치. 실제 무기·부착물 보정은 별도. P220 표준탄은 무기 특성으로 반동 0.</x:v>
      </x:c>
    </x:row>
    <x:row r="16" ht="15" hidden="0" customHeight="1">
      <x:c r="A16" s="3" t="str">
        <x:v>갱신</x:v>
      </x:c>
      <x:c r="B16" s="3" t="str">
        <x:v>수치는 src/data/ammoDefinitions.ts를 수정한 뒤 npm run export:ammo로 재생성. Excel 편집값을 게임에 자동 반영하지 않음.</x:v>
      </x:c>
    </x:row>
    <x:row r="17" ht="15" hidden="0" customHeight="1">
      <x:c r="A17" s="3" t="str">
        <x:v>원본 설계</x:v>
      </x:c>
      <x:c r="B17" s="3" t="str">
        <x:v>docs/탄약_설계.md (사용자 제공 탄약 정리.md 사본). 기존 문서의 화상 전용 요약보다 우선.</x:v>
      </x:c>
    </x:row>
  </x:sheetData>
  <x:pageMargins left="0.7" right="0.7" top="0.75" bottom="0.75" header="0.3" footer="0.3"/>
  <x:tableParts count="1">
    <x:tablePart xmlns:r="http://schemas.openxmlformats.org/officeDocument/2006/relationships" r:id="R66b15d9adb8946e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1" ht="15" hidden="0" customHeight="1">
      <x:c r="A1" s="7" t="str">
        <x:v>항목</x:v>
      </x:c>
      <x:c r="B1" s="7" t="str">
        <x:v>조정 및 관찰</x:v>
      </x:c>
    </x:row>
    <x:row r="2" ht="15" hidden="0" customHeight="1">
      <x:c r="A2" s="3" t="str">
        <x:v>수치 규모</x:v>
      </x:c>
      <x:c r="B2" s="3" t="str">
        <x:v>기존 34종 유지. 새 조건은 정수 증가, 매개·잔향은 50% 후 버림. 취약 반올림은 기존 규칙.</x:v>
      </x:c>
    </x:row>
    <x:row r="3" ht="26.399999618530273" hidden="0" customHeight="1">
      <x:c r="A3" s="3" t="str">
        <x:v>대표 탄창</x:v>
      </x:c>
      <x:c r="B3" s="3" t="str">
        <x:v>P220 근거리: 표준 4발 20, 집중 4발 24, 단일 배열 25, 다섯 계열 5발 21, 초탄·연계·중심·종결 25, 부분 경량·종결 15, 고압·복사·잔향·복사 25.</x:v>
      </x:c>
    </x:row>
    <x:row r="4" ht="15" hidden="0" customHeight="1">
      <x:c r="A4" s="3" t="str">
        <x:v>경량장전</x:v>
      </x:c>
      <x:c r="B4" s="3" t="str">
        <x:v>기본 4칸 한 발 화력 10, 최대 6칸 한 발 14. 6칸에 경량 4발은 32 피해. 특수탄 비용·상태 부재·빈 칸을 지불하는 고출력 전문 전략.</x:v>
      </x:c>
    </x:row>
    <x:row r="5" ht="15" hidden="0" customHeight="1">
      <x:c r="A5" s="3" t="str">
        <x:v>용량</x:v>
      </x:c>
      <x:c r="B5" s="3" t="str">
        <x:v>무기 기본 4칸, P220 최대 6, M1911·데저트 이글 최대 5, M500 고정 4. 부착물 봉쇄에 따른 실제 용량 포함.</x:v>
      </x:c>
    </x:row>
    <x:row r="6" ht="26.399999618530273" hidden="0" customHeight="1">
      <x:c r="A6" s="3" t="str">
        <x:v>복사 안정성</x:v>
      </x:c>
      <x:c r="B6" s="3" t="str">
        <x:v>이전 수치만 저장. 복사·재발동 규칙을 호출하지 않음. 연속 복사는 같은 값, 연속 잔향은 감소·수렴. 새 탄창에 이전 수치 이월 없음.</x:v>
      </x:c>
    </x:row>
    <x:row r="7" ht="15" hidden="0" customHeight="1">
      <x:c r="A7" s="3" t="str">
        <x:v>무기 특성</x:v>
      </x:c>
      <x:c r="B7" s="3" t="str">
        <x:v>기존 무기 특성은 선언된 단일 강화 대상 유지. 중량탄은 복사·매개에서는 복합 주효과이나 기존 무기 강화는 충격만.</x:v>
      </x:c>
    </x:row>
    <x:row r="8" ht="15" hidden="0" customHeight="1">
      <x:c r="A8" s="3" t="str">
        <x:v>미확정</x:v>
      </x:c>
      <x:c r="B8" s="3" t="str">
        <x:v>넉백탄(?)은 초안 / 미정. 일반 보급·보상 풀에서 제외. 피해·반동·표적 이동량 미정.</x:v>
      </x:c>
    </x:row>
    <x:row r="9" ht="26.399999618530273" hidden="0" customHeight="1">
      <x:c r="A9" s="3" t="str">
        <x:v>후속 관찰</x:v>
      </x:c>
      <x:c r="B9" s="3" t="str">
        <x:v>경량장전 반복 보유 및 복사탄과 고출력 준비 탄의 조합은 장기 보급 환경에서 추가 관찰 필요. 대표 조합은 전역 최적화 증명이 아님.</x:v>
      </x:c>
    </x:row>
  </x:sheetData>
  <x:pageMargins left="0.7" right="0.7" top="0.75" bottom="0.75" header="0.3" footer="0.3"/>
  <x:tableParts count="1">
    <x:tablePart xmlns:r="http://schemas.openxmlformats.org/officeDocument/2006/relationships" r:id="Ra9b4415381104cc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8" customHeight="1">
      <x:c r="A1" s="7" t="str">
        <x:v>검사</x:v>
      </x:c>
      <x:c r="B1" s="7" t="str">
        <x:v>현재 값</x:v>
      </x:c>
      <x:c r="C1" s="7" t="str">
        <x:v>기대 값</x:v>
      </x:c>
      <x:c r="D1" s="7" t="str">
        <x:v>차이</x:v>
      </x:c>
    </x:row>
    <x:row r="2" ht="28" customHeight="1">
      <x:c r="A2" s="3" t="str">
        <x:v>확정 탄약</x:v>
      </x:c>
      <x:c r="B2" s="8" t="n">
        <x:f>COUNTIFS(Ammo_Master!D2:D48,"확정")</x:f>
        <x:v>46</x:v>
      </x:c>
      <x:c r="C2" s="8" t="n">
        <x:v>46</x:v>
      </x:c>
      <x:c r="D2" s="8" t="n">
        <x:f>B2-C2</x:f>
        <x:v>0</x:v>
      </x:c>
    </x:row>
    <x:row r="3" ht="28" customHeight="1">
      <x:c r="A3" s="3" t="str">
        <x:v>초안 / 미정</x:v>
      </x:c>
      <x:c r="B3" s="8" t="n">
        <x:f>COUNTIFS(Ammo_Master!D2:D48,"초안 / 미정")</x:f>
        <x:v>1</x:v>
      </x:c>
      <x:c r="C3" s="8" t="n">
        <x:v>1</x:v>
      </x:c>
      <x:c r="D3" s="8" t="n">
        <x:f>B3-C3</x:f>
        <x:v>0</x:v>
      </x:c>
    </x:row>
    <x:row r="4" ht="28" customHeight="1">
      <x:c r="A4" s="3" t="str">
        <x:v>체력 피해</x:v>
      </x:c>
      <x:c r="B4" s="8" t="n">
        <x:f>COUNTIFS(Ammo_Master!E2:E48,"체력 피해",Ammo_Master!D2:D48,"확정")</x:f>
        <x:v>24</x:v>
      </x:c>
      <x:c r="C4" s="8" t="n">
        <x:v>24</x:v>
      </x:c>
      <x:c r="D4" s="8" t="n">
        <x:f>B4-C4</x:f>
        <x:v>0</x:v>
      </x:c>
    </x:row>
    <x:row r="5" ht="28" customHeight="1">
      <x:c r="A5" s="3" t="str">
        <x:v>폭발</x:v>
      </x:c>
      <x:c r="B5" s="8" t="n">
        <x:f>COUNTIFS(Ammo_Master!E2:E48,"폭발",Ammo_Master!D2:D48,"확정")</x:f>
        <x:v>3</x:v>
      </x:c>
      <x:c r="C5" s="8" t="n">
        <x:v>3</x:v>
      </x:c>
      <x:c r="D5" s="8" t="n">
        <x:f>B5-C5</x:f>
        <x:v>0</x:v>
      </x:c>
    </x:row>
    <x:row r="6" ht="28" customHeight="1">
      <x:c r="A6" s="3" t="str">
        <x:v>화상 / 점화</x:v>
      </x:c>
      <x:c r="B6" s="8" t="n">
        <x:f>COUNTIFS(Ammo_Master!E2:E48,"화상 / 점화",Ammo_Master!D2:D48,"확정")</x:f>
        <x:v>6</x:v>
      </x:c>
      <x:c r="C6" s="8" t="n">
        <x:v>6</x:v>
      </x:c>
      <x:c r="D6" s="8" t="n">
        <x:f>B6-C6</x:f>
        <x:v>0</x:v>
      </x:c>
    </x:row>
    <x:row r="7" ht="28" customHeight="1">
      <x:c r="A7" s="3" t="str">
        <x:v>상처</x:v>
      </x:c>
      <x:c r="B7" s="8" t="n">
        <x:f>COUNTIFS(Ammo_Master!E2:E48,"상처",Ammo_Master!D2:D48,"확정")</x:f>
        <x:v>7</x:v>
      </x:c>
      <x:c r="C7" s="8" t="n">
        <x:v>7</x:v>
      </x:c>
      <x:c r="D7" s="8" t="n">
        <x:f>B7-C7</x:f>
        <x:v>0</x:v>
      </x:c>
    </x:row>
    <x:row r="8" ht="28" customHeight="1">
      <x:c r="A8" s="3" t="str">
        <x:v>충격</x:v>
      </x:c>
      <x:c r="B8" s="8" t="n">
        <x:f>COUNTIFS(Ammo_Master!E2:E48,"충격",Ammo_Master!D2:D48,"확정")</x:f>
        <x:v>6</x:v>
      </x:c>
      <x:c r="C8" s="8" t="n">
        <x:v>6</x:v>
      </x:c>
      <x:c r="D8" s="8" t="n">
        <x:f>B8-C8</x:f>
        <x:v>0</x:v>
      </x:c>
    </x:row>
    <x:row r="9" ht="28" customHeight="1">
      <x:c r="A9" s="3" t="str">
        <x:v>적 계층</x:v>
      </x:c>
      <x:c r="B9" s="8" t="n">
        <x:f>COUNTIFS(Ammo_Master!G2:G48,"적",Ammo_Master!D2:D48,"확정")+COUNTIFS(Ammo_Master!G2:G48,"적 + 탄약")+COUNTIFS(Ammo_Master!G2:G48,"적 + 탄창")+COUNTIFS(Ammo_Master!G2:G48,"적 + 탄약 + 탄창")</x:f>
        <x:v>46</x:v>
      </x:c>
      <x:c r="C9" s="8" t="n">
        <x:v>46</x:v>
      </x:c>
      <x:c r="D9" s="8" t="n">
        <x:f>B9-C9</x:f>
        <x:v>0</x:v>
      </x:c>
    </x:row>
    <x:row r="10" ht="28" customHeight="1">
      <x:c r="A10" s="3" t="str">
        <x:v>탄약 계층</x:v>
      </x:c>
      <x:c r="B10" s="8" t="n">
        <x:f>COUNTIFS(Ammo_Master!G2:G48,"적 + 탄약")+COUNTIFS(Ammo_Master!G2:G48,"적 + 탄약 + 탄창")</x:f>
        <x:v>7</x:v>
      </x:c>
      <x:c r="C10" s="8" t="n">
        <x:v>7</x:v>
      </x:c>
      <x:c r="D10" s="8" t="n">
        <x:f>B10-C10</x:f>
        <x:v>0</x:v>
      </x:c>
    </x:row>
    <x:row r="11" ht="28" customHeight="1">
      <x:c r="A11" s="3" t="str">
        <x:v>탄창 계층</x:v>
      </x:c>
      <x:c r="B11" s="8" t="n">
        <x:f>COUNTIFS(Ammo_Master!G2:G48,"적 + 탄창")+COUNTIFS(Ammo_Master!G2:G48,"적 + 탄약 + 탄창")</x:f>
        <x:v>8</x:v>
      </x:c>
      <x:c r="C11" s="8" t="n">
        <x:v>8</x:v>
      </x:c>
      <x:c r="D11" s="8" t="n">
        <x:f>B11-C11</x:f>
        <x:v>0</x:v>
      </x:c>
    </x:row>
    <x:row r="12" ht="28" customHeight="1">
      <x:c r="A12" s="3" t="str">
        <x:v>확정 화력 미정 값</x:v>
      </x:c>
      <x:c r="B12" s="8" t="n">
        <x:f>COUNTBLANK(Ammo_Master!H2:H47)</x:f>
        <x:v>0</x:v>
      </x:c>
      <x:c r="C12" s="8" t="n">
        <x:v>0</x:v>
      </x:c>
      <x:c r="D12" s="8" t="n">
        <x:f>B12-C12</x:f>
        <x:v>0</x:v>
      </x:c>
    </x:row>
    <x:row r="13" ht="28" customHeight="1">
      <x:c r="A13" s="3" t="str">
        <x:v>초안 화력 미정 값</x:v>
      </x:c>
      <x:c r="B13" s="8" t="n">
        <x:f>COUNTBLANK(Ammo_Master!H48)</x:f>
        <x:v>1</x:v>
      </x:c>
      <x:c r="C13" s="8" t="n">
        <x:v>1</x:v>
      </x:c>
      <x:c r="D13" s="8" t="n">
        <x:f>B13-C13</x:f>
        <x:v>0</x:v>
      </x:c>
    </x:row>
  </x:sheetData>
  <x:conditionalFormatting sqref="D2:D13">
    <x:cfRule type="cellIs" dxfId="1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2799b9c1de4989"/>
  </x:tableParts>
</x:worksheet>
</file>